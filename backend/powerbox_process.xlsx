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XVN05-SC-068\Documents\Martin Work\Planning\기획팀\AI 김민서 사원\"/>
    </mc:Choice>
  </mc:AlternateContent>
  <xr:revisionPtr revIDLastSave="0" documentId="13_ncr:1_{96C543D2-C8B7-4C7B-84CA-F1749BB0FA14}" xr6:coauthVersionLast="47" xr6:coauthVersionMax="47" xr10:uidLastSave="{00000000-0000-0000-0000-000000000000}"/>
  <bookViews>
    <workbookView xWindow="-25320" yWindow="1920" windowWidth="24225" windowHeight="13080" activeTab="1" xr2:uid="{00000000-000D-0000-FFFF-FFFF00000000}"/>
  </bookViews>
  <sheets>
    <sheet name="MajorModule" sheetId="5" r:id="rId1"/>
    <sheet name="PBX" sheetId="4" r:id="rId2"/>
    <sheet name="EMA" sheetId="6" r:id="rId3"/>
    <sheet name="정리" sheetId="3" r:id="rId4"/>
  </sheets>
  <definedNames>
    <definedName name="_xlnm._FilterDatabase" localSheetId="2" hidden="1">EMA!$A$2:$AD$29</definedName>
    <definedName name="_xlnm._FilterDatabase" localSheetId="0" hidden="1">MajorModule!$A$2:$AC$29</definedName>
    <definedName name="_xlnm._FilterDatabase" localSheetId="1" hidden="1">PBX!$A$2:$AG$24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" i="4" l="1"/>
  <c r="AF23" i="4"/>
  <c r="AF22" i="4"/>
  <c r="AF21" i="4"/>
  <c r="AF20" i="4"/>
  <c r="AF19" i="4"/>
  <c r="Z24" i="4"/>
  <c r="Z23" i="4"/>
  <c r="Z22" i="4"/>
  <c r="Z21" i="4"/>
  <c r="Z20" i="4"/>
  <c r="Z19" i="4"/>
  <c r="X20" i="4"/>
  <c r="X21" i="4"/>
  <c r="X22" i="4"/>
  <c r="X23" i="4"/>
  <c r="X24" i="4"/>
  <c r="X19" i="4"/>
  <c r="J19" i="4"/>
  <c r="AF17" i="4"/>
  <c r="Z17" i="4"/>
  <c r="X17" i="4"/>
  <c r="AF16" i="4"/>
  <c r="Z16" i="4"/>
  <c r="X16" i="4"/>
  <c r="AF10" i="4"/>
  <c r="Z10" i="4"/>
  <c r="X10" i="4"/>
  <c r="V10" i="4"/>
  <c r="N10" i="4"/>
  <c r="AF7" i="4"/>
  <c r="AF6" i="4"/>
  <c r="Z7" i="4"/>
  <c r="Z6" i="4"/>
  <c r="X7" i="4"/>
  <c r="X6" i="4"/>
  <c r="Z3" i="4"/>
  <c r="AF3" i="4" s="1"/>
  <c r="AF4" i="4"/>
  <c r="Z4" i="4"/>
  <c r="X4" i="4"/>
  <c r="X3" i="4"/>
</calcChain>
</file>

<file path=xl/sharedStrings.xml><?xml version="1.0" encoding="utf-8"?>
<sst xmlns="http://schemas.openxmlformats.org/spreadsheetml/2006/main" count="391" uniqueCount="145">
  <si>
    <t>No.</t>
  </si>
  <si>
    <t>Part Number</t>
  </si>
  <si>
    <t>01 FA PO</t>
  </si>
  <si>
    <t>02 Material Order</t>
  </si>
  <si>
    <t>03 Material Receiving</t>
  </si>
  <si>
    <t>04 Machining (Assembly)</t>
  </si>
  <si>
    <t>05 LA Receiving</t>
  </si>
  <si>
    <t>06 LAIR Preparation</t>
  </si>
  <si>
    <t>07 LAIR Approval</t>
  </si>
  <si>
    <t>09 FAIR Preparation</t>
  </si>
  <si>
    <t>10 FAIR Approval</t>
  </si>
  <si>
    <t>11 LAP Test</t>
  </si>
  <si>
    <t>12 CDR</t>
  </si>
  <si>
    <t>13 Final Approval Complete</t>
  </si>
  <si>
    <t>Planned</t>
  </si>
  <si>
    <t>Actual</t>
  </si>
  <si>
    <t>08 FAIR Preparation</t>
  </si>
  <si>
    <t>08 FAIR Preparation</t>
    <phoneticPr fontId="6" type="noConversion"/>
  </si>
  <si>
    <t>08 Source Inspection</t>
    <phoneticPr fontId="6" type="noConversion"/>
  </si>
  <si>
    <t>TPM</t>
    <phoneticPr fontId="6" type="noConversion"/>
  </si>
  <si>
    <t>Major Module</t>
    <phoneticPr fontId="6" type="noConversion"/>
  </si>
  <si>
    <t>Machining</t>
    <phoneticPr fontId="6" type="noConversion"/>
  </si>
  <si>
    <t>Power Box</t>
    <phoneticPr fontId="6" type="noConversion"/>
  </si>
  <si>
    <t>04 CB</t>
  </si>
  <si>
    <t>04 CB</t>
    <phoneticPr fontId="6" type="noConversion"/>
  </si>
  <si>
    <t>05 BV1</t>
  </si>
  <si>
    <t>05 BV1</t>
    <phoneticPr fontId="6" type="noConversion"/>
  </si>
  <si>
    <t>06 BV2</t>
  </si>
  <si>
    <t>06 BV2</t>
    <phoneticPr fontId="6" type="noConversion"/>
  </si>
  <si>
    <t>07 Source Inspection</t>
  </si>
  <si>
    <t>07 Source Inspection</t>
    <phoneticPr fontId="6" type="noConversion"/>
  </si>
  <si>
    <t>10 Final Approval Complete</t>
    <phoneticPr fontId="6" type="noConversion"/>
  </si>
  <si>
    <t>11 FAIR Preparation</t>
    <phoneticPr fontId="6" type="noConversion"/>
  </si>
  <si>
    <t>12 FAIR Approval</t>
    <phoneticPr fontId="6" type="noConversion"/>
  </si>
  <si>
    <t>09 FAIR Approval</t>
  </si>
  <si>
    <t>09 FAIR Approval</t>
    <phoneticPr fontId="6" type="noConversion"/>
  </si>
  <si>
    <t>10 PRR Preparation</t>
  </si>
  <si>
    <t>10 PRR Preparation</t>
    <phoneticPr fontId="6" type="noConversion"/>
  </si>
  <si>
    <t>11 PRR Approval</t>
  </si>
  <si>
    <t>11 PRR Approval</t>
    <phoneticPr fontId="6" type="noConversion"/>
  </si>
  <si>
    <t>EMA</t>
    <phoneticPr fontId="6" type="noConversion"/>
  </si>
  <si>
    <t>PRR 거의 생략</t>
    <phoneticPr fontId="6" type="noConversion"/>
  </si>
  <si>
    <t>LAIR 없음</t>
    <phoneticPr fontId="6" type="noConversion"/>
  </si>
  <si>
    <t>LAIR 주로 없음</t>
    <phoneticPr fontId="6" type="noConversion"/>
  </si>
  <si>
    <t>12 Final Approval Complete</t>
    <phoneticPr fontId="6" type="noConversion"/>
  </si>
  <si>
    <t>07 LA Receiving</t>
  </si>
  <si>
    <t>07 LA Receiving</t>
    <phoneticPr fontId="6" type="noConversion"/>
  </si>
  <si>
    <t>08 LAIR Preparation</t>
  </si>
  <si>
    <t>08 LAIR Preparation</t>
    <phoneticPr fontId="6" type="noConversion"/>
  </si>
  <si>
    <t>09 LAIR Approval</t>
  </si>
  <si>
    <t>09 LAIR Approval</t>
    <phoneticPr fontId="6" type="noConversion"/>
  </si>
  <si>
    <t>10 Source Inspection</t>
  </si>
  <si>
    <t>10 Source Inspection</t>
    <phoneticPr fontId="6" type="noConversion"/>
  </si>
  <si>
    <t>13 CDR</t>
    <phoneticPr fontId="6" type="noConversion"/>
  </si>
  <si>
    <t>14 Final Approval Complete</t>
    <phoneticPr fontId="6" type="noConversion"/>
  </si>
  <si>
    <t xml:space="preserve"> +SI</t>
    <phoneticPr fontId="6" type="noConversion"/>
  </si>
  <si>
    <t>CB
(포장포함)</t>
    <phoneticPr fontId="6" type="noConversion"/>
  </si>
  <si>
    <t>13 PRR Preparation</t>
    <phoneticPr fontId="6" type="noConversion"/>
  </si>
  <si>
    <t>14 PRR Approval</t>
    <phoneticPr fontId="6" type="noConversion"/>
  </si>
  <si>
    <t>15 Final Approval</t>
    <phoneticPr fontId="6" type="noConversion"/>
  </si>
  <si>
    <t>12 Final Approval</t>
  </si>
  <si>
    <t>14 Final Approval</t>
    <phoneticPr fontId="6" type="noConversion"/>
  </si>
  <si>
    <t>완료</t>
    <phoneticPr fontId="6" type="noConversion"/>
  </si>
  <si>
    <t>Mach I VTM</t>
    <phoneticPr fontId="6" type="noConversion"/>
  </si>
  <si>
    <t>Model</t>
    <phoneticPr fontId="6" type="noConversion"/>
  </si>
  <si>
    <t>571-267153-XXXXX</t>
    <phoneticPr fontId="6" type="noConversion"/>
  </si>
  <si>
    <t>VXT-AHM</t>
  </si>
  <si>
    <t>Striker Oxide</t>
  </si>
  <si>
    <t>VXT AHM HX</t>
  </si>
  <si>
    <t>STRIKER CARBIDE CK</t>
  </si>
  <si>
    <t>RPDB</t>
  </si>
  <si>
    <t>CRPP</t>
  </si>
  <si>
    <t>VXL-SPARC2</t>
  </si>
  <si>
    <t>Mahabali MPD</t>
  </si>
  <si>
    <t>VXT-NILDS</t>
  </si>
  <si>
    <t>SPDB</t>
    <phoneticPr fontId="13" type="noConversion"/>
  </si>
  <si>
    <t xml:space="preserve"> 853-177575-015</t>
    <phoneticPr fontId="13" type="noConversion"/>
  </si>
  <si>
    <t>VCTR-XPRSMS</t>
    <phoneticPr fontId="6" type="noConversion"/>
  </si>
  <si>
    <t>925-041348-826</t>
    <phoneticPr fontId="13" type="noConversion"/>
  </si>
  <si>
    <t xml:space="preserve">ENPI </t>
  </si>
  <si>
    <t>853-238341-001</t>
    <phoneticPr fontId="13" type="noConversion"/>
  </si>
  <si>
    <t xml:space="preserve">SABRE 3D </t>
  </si>
  <si>
    <t>925-214137-004</t>
    <phoneticPr fontId="13" type="noConversion"/>
  </si>
  <si>
    <t>SABRE 3D</t>
    <phoneticPr fontId="6" type="noConversion"/>
  </si>
  <si>
    <t xml:space="preserve"> 925-214137-104</t>
    <phoneticPr fontId="13" type="noConversion"/>
  </si>
  <si>
    <t>925-214138-004</t>
    <phoneticPr fontId="13" type="noConversion"/>
  </si>
  <si>
    <t xml:space="preserve">SABRE 3D </t>
    <phoneticPr fontId="6" type="noConversion"/>
  </si>
  <si>
    <t xml:space="preserve"> 925-214138-104</t>
    <phoneticPr fontId="13" type="noConversion"/>
  </si>
  <si>
    <t>Expedited NPI PBX Project</t>
    <phoneticPr fontId="6" type="noConversion"/>
  </si>
  <si>
    <t>VXT-NILDS/TEOSXTI</t>
    <phoneticPr fontId="6" type="noConversion"/>
  </si>
  <si>
    <t>KIYO GX RFPP</t>
    <phoneticPr fontId="6" type="noConversion"/>
  </si>
  <si>
    <t xml:space="preserve"> 575-261056-001</t>
    <phoneticPr fontId="13" type="noConversion"/>
  </si>
  <si>
    <t>853-177575-500</t>
    <phoneticPr fontId="13" type="noConversion"/>
  </si>
  <si>
    <t xml:space="preserve">VCTR XPRS </t>
    <phoneticPr fontId="6" type="noConversion"/>
  </si>
  <si>
    <t xml:space="preserve"> 853-222081-005</t>
    <phoneticPr fontId="13" type="noConversion"/>
  </si>
  <si>
    <t>CVD-VXT-TEOSXT</t>
    <phoneticPr fontId="6" type="noConversion"/>
  </si>
  <si>
    <t>853-151282-200</t>
    <phoneticPr fontId="13" type="noConversion"/>
  </si>
  <si>
    <t>853-154168-706</t>
    <phoneticPr fontId="13" type="noConversion"/>
  </si>
  <si>
    <t>925-290073-614</t>
    <phoneticPr fontId="13" type="noConversion"/>
  </si>
  <si>
    <t>853-244378-500</t>
    <phoneticPr fontId="13" type="noConversion"/>
  </si>
  <si>
    <t>575-B21019-XXXXX</t>
    <phoneticPr fontId="13" type="noConversion"/>
  </si>
  <si>
    <t>575-B21661-XXXXX</t>
    <phoneticPr fontId="13" type="noConversion"/>
  </si>
  <si>
    <t>925-245250-012</t>
    <phoneticPr fontId="13" type="noConversion"/>
  </si>
  <si>
    <t>XXX-290073-500</t>
    <phoneticPr fontId="13" type="noConversion"/>
  </si>
  <si>
    <t>857-C25324-001</t>
    <phoneticPr fontId="13" type="noConversion"/>
  </si>
  <si>
    <t>853-224690-002</t>
    <phoneticPr fontId="13" type="noConversion"/>
  </si>
  <si>
    <t>571-A19651-XXX</t>
    <phoneticPr fontId="13" type="noConversion"/>
  </si>
  <si>
    <t xml:space="preserve"> 925-A35434-XXX</t>
    <phoneticPr fontId="13" type="noConversion"/>
  </si>
  <si>
    <t>NA</t>
    <phoneticPr fontId="6" type="noConversion"/>
  </si>
  <si>
    <t>853-043648-114</t>
  </si>
  <si>
    <t>515-A46886-120</t>
  </si>
  <si>
    <t>853-043648-115</t>
  </si>
  <si>
    <t>853-B49960-002</t>
  </si>
  <si>
    <t>853-259618-102</t>
  </si>
  <si>
    <t>853-259618-202</t>
  </si>
  <si>
    <t>853-181170-003</t>
  </si>
  <si>
    <t>853-A57057-005</t>
  </si>
  <si>
    <t>853-A57057-006</t>
  </si>
  <si>
    <t>853-A57057-007</t>
  </si>
  <si>
    <t>853-181170-004</t>
  </si>
  <si>
    <t>853-181168-005</t>
  </si>
  <si>
    <t>853-177116-006</t>
  </si>
  <si>
    <t>853-181168-004</t>
  </si>
  <si>
    <t>853-209194-002</t>
  </si>
  <si>
    <t>853-B15113-113</t>
  </si>
  <si>
    <t>853-B15113-006</t>
  </si>
  <si>
    <t>853-167156-001</t>
  </si>
  <si>
    <t>02-429411-00</t>
  </si>
  <si>
    <t>853-160631-001</t>
  </si>
  <si>
    <t>839-281618-001</t>
  </si>
  <si>
    <t>853-281875-001</t>
  </si>
  <si>
    <t>853-A46886-002</t>
  </si>
  <si>
    <t>856-A04985-001</t>
  </si>
  <si>
    <t>857-A77411-001</t>
  </si>
  <si>
    <t>04-310641-00</t>
  </si>
  <si>
    <t>853-240517-001</t>
  </si>
  <si>
    <t>853-240517-002</t>
  </si>
  <si>
    <t>02-285179-00</t>
  </si>
  <si>
    <t>853-043648-211</t>
  </si>
  <si>
    <t>853-043648-212</t>
  </si>
  <si>
    <t>853-110997-003</t>
  </si>
  <si>
    <t>853-A24821-750</t>
  </si>
  <si>
    <t>853-290073-209</t>
    <phoneticPr fontId="13" type="noConversion"/>
  </si>
  <si>
    <t>853-B15113-313</t>
  </si>
  <si>
    <t>853-B78540-001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</si>
</sst>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rgb="FFFFFFFF"/>
      <name val="맑은 고딕"/>
      <family val="2"/>
      <scheme val="minor"/>
    </font>
    <font>
      <b/>
      <sz val="10"/>
      <color rgb="FF1F4E78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페이퍼로지 5 Medium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페이퍼로지 5 Medium"/>
      <family val="3"/>
      <charset val="129"/>
    </font>
    <font>
      <sz val="8"/>
      <color rgb="FF000000"/>
      <name val="페이퍼로지 5 Medium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6" fontId="1" fillId="0" borderId="0" xfId="0" applyNumberFormat="1" applyFont="1" applyAlignment="1">
      <alignment vertical="center"/>
    </xf>
    <xf numFmtId="176" fontId="4" fillId="0" borderId="2" xfId="0" applyNumberFormat="1" applyFont="1" applyBorder="1" applyAlignment="1">
      <alignment vertical="center" wrapText="1"/>
    </xf>
    <xf numFmtId="176" fontId="4" fillId="0" borderId="3" xfId="0" applyNumberFormat="1" applyFont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9" fillId="0" borderId="0" xfId="0" applyFont="1"/>
    <xf numFmtId="0" fontId="7" fillId="5" borderId="0" xfId="0" applyFont="1" applyFill="1"/>
    <xf numFmtId="0" fontId="10" fillId="0" borderId="0" xfId="0" applyFont="1"/>
    <xf numFmtId="0" fontId="11" fillId="0" borderId="0" xfId="0" applyFont="1"/>
    <xf numFmtId="0" fontId="0" fillId="0" borderId="0" xfId="0" quotePrefix="1"/>
    <xf numFmtId="0" fontId="12" fillId="9" borderId="6" xfId="0" applyFont="1" applyFill="1" applyBorder="1" applyAlignment="1">
      <alignment horizontal="center" vertical="center" wrapText="1" readingOrder="1"/>
    </xf>
    <xf numFmtId="0" fontId="14" fillId="9" borderId="6" xfId="0" applyFont="1" applyFill="1" applyBorder="1" applyAlignment="1">
      <alignment horizontal="center" vertical="center" wrapText="1" readingOrder="1"/>
    </xf>
    <xf numFmtId="176" fontId="1" fillId="0" borderId="0" xfId="0" applyNumberFormat="1" applyFont="1" applyAlignment="1">
      <alignment horizontal="center" vertical="center"/>
    </xf>
    <xf numFmtId="0" fontId="15" fillId="9" borderId="12" xfId="0" applyFont="1" applyFill="1" applyBorder="1" applyAlignment="1">
      <alignment horizontal="center" vertical="center" wrapText="1" readingOrder="1"/>
    </xf>
    <xf numFmtId="0" fontId="15" fillId="10" borderId="1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176" fontId="4" fillId="11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D02D-903D-4455-BE99-1E8E71B4CDB0}">
  <dimension ref="A1:AC5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7" sqref="T7"/>
    </sheetView>
  </sheetViews>
  <sheetFormatPr defaultColWidth="40.296875" defaultRowHeight="15.6" x14ac:dyDescent="0.4"/>
  <cols>
    <col min="1" max="1" width="3.796875" style="5" bestFit="1" customWidth="1"/>
    <col min="2" max="2" width="19.09765625" style="5" customWidth="1"/>
    <col min="3" max="3" width="14.296875" style="5" customWidth="1"/>
    <col min="4" max="4" width="11.796875" style="5" bestFit="1" customWidth="1"/>
    <col min="5" max="5" width="10.296875" style="5" bestFit="1" customWidth="1"/>
    <col min="6" max="6" width="11.796875" style="5" bestFit="1" customWidth="1"/>
    <col min="7" max="7" width="10.296875" style="5" bestFit="1" customWidth="1"/>
    <col min="8" max="8" width="11.796875" style="5" bestFit="1" customWidth="1"/>
    <col min="9" max="9" width="10.296875" style="5" bestFit="1" customWidth="1"/>
    <col min="10" max="10" width="11.796875" style="5" bestFit="1" customWidth="1"/>
    <col min="11" max="11" width="10.296875" style="5" bestFit="1" customWidth="1"/>
    <col min="12" max="12" width="11.796875" style="5" bestFit="1" customWidth="1"/>
    <col min="13" max="13" width="11.296875" style="5" bestFit="1" customWidth="1"/>
    <col min="14" max="14" width="11.796875" style="5" bestFit="1" customWidth="1"/>
    <col min="15" max="15" width="10.296875" style="5" bestFit="1" customWidth="1"/>
    <col min="16" max="16" width="13.19921875" style="5" bestFit="1" customWidth="1"/>
    <col min="17" max="17" width="10.296875" style="5" bestFit="1" customWidth="1"/>
    <col min="18" max="18" width="11.796875" style="5" bestFit="1" customWidth="1"/>
    <col min="19" max="19" width="10.296875" style="5" bestFit="1" customWidth="1"/>
    <col min="20" max="20" width="11.796875" style="5" bestFit="1" customWidth="1"/>
    <col min="21" max="21" width="10.296875" style="5" bestFit="1" customWidth="1"/>
    <col min="22" max="22" width="13.19921875" style="5" bestFit="1" customWidth="1"/>
    <col min="23" max="23" width="10.296875" style="5" bestFit="1" customWidth="1"/>
    <col min="24" max="24" width="11.796875" style="5" bestFit="1" customWidth="1"/>
    <col min="25" max="25" width="10.296875" style="5" bestFit="1" customWidth="1"/>
    <col min="26" max="26" width="11.796875" style="5" bestFit="1" customWidth="1"/>
    <col min="27" max="27" width="10.296875" style="5" bestFit="1" customWidth="1"/>
    <col min="28" max="28" width="11.796875" style="5" bestFit="1" customWidth="1"/>
    <col min="29" max="29" width="10.296875" style="5" bestFit="1" customWidth="1"/>
    <col min="30" max="30" width="40.296875" style="5" customWidth="1"/>
    <col min="31" max="16384" width="40.296875" style="5"/>
  </cols>
  <sheetData>
    <row r="1" spans="1:29" ht="17.399999999999999" x14ac:dyDescent="0.4">
      <c r="A1" s="24" t="s">
        <v>0</v>
      </c>
      <c r="B1" s="24" t="s">
        <v>1</v>
      </c>
      <c r="C1" s="26" t="s">
        <v>64</v>
      </c>
      <c r="D1" s="24" t="s">
        <v>2</v>
      </c>
      <c r="E1" s="25"/>
      <c r="F1" s="24" t="s">
        <v>3</v>
      </c>
      <c r="G1" s="25"/>
      <c r="H1" s="24" t="s">
        <v>4</v>
      </c>
      <c r="I1" s="25"/>
      <c r="J1" s="24" t="s">
        <v>23</v>
      </c>
      <c r="K1" s="25"/>
      <c r="L1" s="24" t="s">
        <v>25</v>
      </c>
      <c r="M1" s="25"/>
      <c r="N1" s="24" t="s">
        <v>27</v>
      </c>
      <c r="O1" s="25"/>
      <c r="P1" s="24" t="s">
        <v>29</v>
      </c>
      <c r="Q1" s="25"/>
      <c r="R1" s="24" t="s">
        <v>16</v>
      </c>
      <c r="S1" s="25"/>
      <c r="T1" s="24" t="s">
        <v>34</v>
      </c>
      <c r="U1" s="25"/>
      <c r="V1" s="24" t="s">
        <v>36</v>
      </c>
      <c r="W1" s="25"/>
      <c r="X1" s="24" t="s">
        <v>38</v>
      </c>
      <c r="Y1" s="25"/>
      <c r="Z1" s="24" t="s">
        <v>60</v>
      </c>
      <c r="AA1" s="25"/>
      <c r="AB1" s="29"/>
      <c r="AC1" s="29"/>
    </row>
    <row r="2" spans="1:29" ht="16.05" customHeight="1" x14ac:dyDescent="0.4">
      <c r="A2" s="28"/>
      <c r="B2" s="28"/>
      <c r="C2" s="27"/>
      <c r="D2" s="1" t="s">
        <v>14</v>
      </c>
      <c r="E2" s="1" t="s">
        <v>15</v>
      </c>
      <c r="F2" s="1" t="s">
        <v>14</v>
      </c>
      <c r="G2" s="1" t="s">
        <v>15</v>
      </c>
      <c r="H2" s="1" t="s">
        <v>14</v>
      </c>
      <c r="I2" s="1" t="s">
        <v>15</v>
      </c>
      <c r="J2" s="1" t="s">
        <v>14</v>
      </c>
      <c r="K2" s="1" t="s">
        <v>15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14</v>
      </c>
      <c r="S2" s="1" t="s">
        <v>15</v>
      </c>
      <c r="T2" s="1" t="s">
        <v>14</v>
      </c>
      <c r="U2" s="1" t="s">
        <v>15</v>
      </c>
      <c r="V2" s="1" t="s">
        <v>14</v>
      </c>
      <c r="W2" s="1" t="s">
        <v>15</v>
      </c>
      <c r="X2" s="1" t="s">
        <v>14</v>
      </c>
      <c r="Y2" s="1" t="s">
        <v>15</v>
      </c>
      <c r="Z2" s="1" t="s">
        <v>14</v>
      </c>
      <c r="AA2" s="1" t="s">
        <v>15</v>
      </c>
    </row>
    <row r="3" spans="1:29" x14ac:dyDescent="0.4">
      <c r="A3" s="2">
        <v>1</v>
      </c>
      <c r="B3" s="3" t="s">
        <v>65</v>
      </c>
      <c r="C3" s="3" t="s">
        <v>63</v>
      </c>
      <c r="D3" s="4"/>
      <c r="E3" s="4" t="s">
        <v>62</v>
      </c>
      <c r="F3" s="4"/>
      <c r="G3" s="4" t="s">
        <v>62</v>
      </c>
      <c r="H3" s="4"/>
      <c r="I3" s="4" t="s">
        <v>62</v>
      </c>
      <c r="J3" s="4"/>
      <c r="K3" s="4" t="s">
        <v>62</v>
      </c>
      <c r="L3" s="4"/>
      <c r="M3" s="4" t="s">
        <v>62</v>
      </c>
      <c r="N3" s="4"/>
      <c r="O3" s="4" t="s">
        <v>62</v>
      </c>
      <c r="P3" s="4"/>
      <c r="Q3" s="4" t="s">
        <v>62</v>
      </c>
      <c r="R3" s="4"/>
      <c r="S3" s="4" t="s">
        <v>62</v>
      </c>
      <c r="T3" s="4"/>
      <c r="U3" s="4">
        <v>46241</v>
      </c>
      <c r="V3" s="4">
        <v>46262</v>
      </c>
      <c r="W3" s="4"/>
      <c r="X3" s="4">
        <v>46280</v>
      </c>
      <c r="Y3" s="4"/>
      <c r="Z3" s="4">
        <v>46295</v>
      </c>
      <c r="AA3" s="4"/>
    </row>
    <row r="4" spans="1:29" x14ac:dyDescent="0.4">
      <c r="A4" s="2">
        <v>2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9" x14ac:dyDescent="0.4">
      <c r="A5" s="2">
        <v>3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9" x14ac:dyDescent="0.4">
      <c r="A6" s="2">
        <v>4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9" x14ac:dyDescent="0.4">
      <c r="A7" s="2">
        <v>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9" x14ac:dyDescent="0.4">
      <c r="A8" s="2">
        <v>6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9" x14ac:dyDescent="0.4">
      <c r="A9" s="2">
        <v>7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9" x14ac:dyDescent="0.4">
      <c r="A10" s="2">
        <v>8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9" x14ac:dyDescent="0.4">
      <c r="A11" s="2">
        <v>9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9" x14ac:dyDescent="0.4">
      <c r="A12" s="2">
        <v>10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9" x14ac:dyDescent="0.4">
      <c r="A13" s="2">
        <v>11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9" x14ac:dyDescent="0.4">
      <c r="A14" s="2">
        <v>12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9" x14ac:dyDescent="0.4">
      <c r="A15" s="2">
        <v>13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9" x14ac:dyDescent="0.4">
      <c r="A16" s="2">
        <v>14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4">
      <c r="A17" s="2">
        <v>15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4">
      <c r="A18" s="2">
        <v>16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4">
      <c r="A19" s="2">
        <v>17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4">
      <c r="A20" s="2">
        <v>18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4">
      <c r="A21" s="2">
        <v>19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4">
      <c r="A22" s="2">
        <v>20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4">
      <c r="A23" s="2">
        <v>21</v>
      </c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4">
      <c r="A24" s="2">
        <v>22</v>
      </c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4">
      <c r="A25" s="2">
        <v>23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4">
      <c r="A26" s="2">
        <v>24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4">
      <c r="A27" s="2">
        <v>25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4">
      <c r="A28" s="2">
        <v>26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4">
      <c r="A29" s="2">
        <v>27</v>
      </c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48" spans="14:15" x14ac:dyDescent="0.4">
      <c r="N48" s="7"/>
      <c r="O48" s="7"/>
    </row>
    <row r="50" spans="14:14" x14ac:dyDescent="0.4">
      <c r="N50" s="7"/>
    </row>
  </sheetData>
  <autoFilter ref="A2:AC29" xr:uid="{00000000-0009-0000-0000-000000000000}"/>
  <mergeCells count="16">
    <mergeCell ref="A1:A2"/>
    <mergeCell ref="B1:B2"/>
    <mergeCell ref="D1:E1"/>
    <mergeCell ref="F1:G1"/>
    <mergeCell ref="H1:I1"/>
    <mergeCell ref="X1:Y1"/>
    <mergeCell ref="Z1:AA1"/>
    <mergeCell ref="AB1:AC1"/>
    <mergeCell ref="C1:C2"/>
    <mergeCell ref="L1:M1"/>
    <mergeCell ref="N1:O1"/>
    <mergeCell ref="P1:Q1"/>
    <mergeCell ref="R1:S1"/>
    <mergeCell ref="T1:U1"/>
    <mergeCell ref="V1:W1"/>
    <mergeCell ref="J1:K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A48A-B7F0-4AE5-9F55-A7C691358392}">
  <dimension ref="A1:AG4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3" sqref="B3"/>
    </sheetView>
  </sheetViews>
  <sheetFormatPr defaultColWidth="40.296875" defaultRowHeight="15.6" x14ac:dyDescent="0.4"/>
  <cols>
    <col min="1" max="1" width="3.796875" style="5" bestFit="1" customWidth="1"/>
    <col min="2" max="2" width="24.3984375" style="5" customWidth="1"/>
    <col min="3" max="3" width="32.59765625" style="5" customWidth="1"/>
    <col min="4" max="4" width="11.796875" style="5" bestFit="1" customWidth="1"/>
    <col min="5" max="5" width="10.296875" style="5" bestFit="1" customWidth="1"/>
    <col min="6" max="6" width="11.796875" style="5" bestFit="1" customWidth="1"/>
    <col min="7" max="7" width="10.296875" style="5" bestFit="1" customWidth="1"/>
    <col min="8" max="8" width="11.796875" style="5" bestFit="1" customWidth="1"/>
    <col min="9" max="9" width="10.296875" style="5" bestFit="1" customWidth="1"/>
    <col min="10" max="10" width="11.796875" style="5" bestFit="1" customWidth="1"/>
    <col min="11" max="11" width="10.296875" style="5" bestFit="1" customWidth="1"/>
    <col min="12" max="12" width="11.796875" style="5" bestFit="1" customWidth="1"/>
    <col min="13" max="13" width="11.296875" style="5" bestFit="1" customWidth="1"/>
    <col min="14" max="14" width="11.796875" style="5" bestFit="1" customWidth="1"/>
    <col min="15" max="15" width="10.296875" style="5" bestFit="1" customWidth="1"/>
    <col min="16" max="16" width="13.19921875" style="5" customWidth="1"/>
    <col min="17" max="17" width="10.296875" style="5" customWidth="1"/>
    <col min="18" max="18" width="11.796875" style="5" customWidth="1"/>
    <col min="19" max="19" width="10.296875" style="5" customWidth="1"/>
    <col min="20" max="20" width="11.796875" style="5" customWidth="1"/>
    <col min="21" max="21" width="10.296875" style="5" customWidth="1"/>
    <col min="22" max="22" width="13.19921875" style="5" bestFit="1" customWidth="1"/>
    <col min="23" max="23" width="10.296875" style="5" bestFit="1" customWidth="1"/>
    <col min="24" max="27" width="10.296875" style="5" customWidth="1"/>
    <col min="28" max="28" width="11.796875" style="5" customWidth="1"/>
    <col min="29" max="29" width="10.296875" style="5" customWidth="1"/>
    <col min="30" max="30" width="11.796875" style="5" customWidth="1"/>
    <col min="31" max="31" width="10.296875" style="5" customWidth="1"/>
    <col min="32" max="32" width="11.796875" style="5" bestFit="1" customWidth="1"/>
    <col min="33" max="33" width="10.296875" style="5" bestFit="1" customWidth="1"/>
    <col min="34" max="34" width="40.296875" style="5" customWidth="1"/>
    <col min="35" max="16384" width="40.296875" style="5"/>
  </cols>
  <sheetData>
    <row r="1" spans="1:33" ht="17.399999999999999" x14ac:dyDescent="0.4">
      <c r="A1" s="24" t="s">
        <v>0</v>
      </c>
      <c r="B1" s="24" t="s">
        <v>1</v>
      </c>
      <c r="C1" s="26" t="s">
        <v>64</v>
      </c>
      <c r="D1" s="24" t="s">
        <v>2</v>
      </c>
      <c r="E1" s="25"/>
      <c r="F1" s="24" t="s">
        <v>3</v>
      </c>
      <c r="G1" s="25"/>
      <c r="H1" s="24" t="s">
        <v>4</v>
      </c>
      <c r="I1" s="25"/>
      <c r="J1" s="24" t="s">
        <v>23</v>
      </c>
      <c r="K1" s="25"/>
      <c r="L1" s="24" t="s">
        <v>25</v>
      </c>
      <c r="M1" s="25"/>
      <c r="N1" s="24" t="s">
        <v>27</v>
      </c>
      <c r="O1" s="25"/>
      <c r="P1" s="24" t="s">
        <v>45</v>
      </c>
      <c r="Q1" s="25"/>
      <c r="R1" s="24" t="s">
        <v>47</v>
      </c>
      <c r="S1" s="25"/>
      <c r="T1" s="24" t="s">
        <v>49</v>
      </c>
      <c r="U1" s="25"/>
      <c r="V1" s="24" t="s">
        <v>51</v>
      </c>
      <c r="W1" s="25"/>
      <c r="X1" s="24" t="s">
        <v>32</v>
      </c>
      <c r="Y1" s="25"/>
      <c r="Z1" s="24" t="s">
        <v>33</v>
      </c>
      <c r="AA1" s="25"/>
      <c r="AB1" s="24" t="s">
        <v>57</v>
      </c>
      <c r="AC1" s="25"/>
      <c r="AD1" s="24" t="s">
        <v>58</v>
      </c>
      <c r="AE1" s="25"/>
      <c r="AF1" s="24" t="s">
        <v>59</v>
      </c>
      <c r="AG1" s="25"/>
    </row>
    <row r="2" spans="1:33" ht="16.05" customHeight="1" x14ac:dyDescent="0.4">
      <c r="A2" s="28"/>
      <c r="B2" s="28"/>
      <c r="C2" s="27"/>
      <c r="D2" s="1" t="s">
        <v>14</v>
      </c>
      <c r="E2" s="1" t="s">
        <v>15</v>
      </c>
      <c r="F2" s="1" t="s">
        <v>14</v>
      </c>
      <c r="G2" s="1" t="s">
        <v>15</v>
      </c>
      <c r="H2" s="1" t="s">
        <v>14</v>
      </c>
      <c r="I2" s="1" t="s">
        <v>15</v>
      </c>
      <c r="J2" s="1" t="s">
        <v>14</v>
      </c>
      <c r="K2" s="1" t="s">
        <v>15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14</v>
      </c>
      <c r="S2" s="1" t="s">
        <v>15</v>
      </c>
      <c r="T2" s="1" t="s">
        <v>14</v>
      </c>
      <c r="U2" s="1" t="s">
        <v>15</v>
      </c>
      <c r="V2" s="1" t="s">
        <v>14</v>
      </c>
      <c r="W2" s="1" t="s">
        <v>15</v>
      </c>
      <c r="X2" s="1" t="s">
        <v>14</v>
      </c>
      <c r="Y2" s="1" t="s">
        <v>15</v>
      </c>
      <c r="Z2" s="1" t="s">
        <v>14</v>
      </c>
      <c r="AA2" s="1" t="s">
        <v>15</v>
      </c>
      <c r="AB2" s="1" t="s">
        <v>14</v>
      </c>
      <c r="AC2" s="1" t="s">
        <v>15</v>
      </c>
      <c r="AD2" s="1" t="s">
        <v>14</v>
      </c>
      <c r="AE2" s="1" t="s">
        <v>15</v>
      </c>
      <c r="AF2" s="1" t="s">
        <v>14</v>
      </c>
      <c r="AG2" s="1" t="s">
        <v>15</v>
      </c>
    </row>
    <row r="3" spans="1:33" x14ac:dyDescent="0.4">
      <c r="A3" s="2">
        <v>1</v>
      </c>
      <c r="B3" s="20" t="s">
        <v>96</v>
      </c>
      <c r="C3" s="19" t="s">
        <v>66</v>
      </c>
      <c r="D3" s="4"/>
      <c r="E3" s="4" t="s">
        <v>62</v>
      </c>
      <c r="F3" s="4"/>
      <c r="G3" s="4" t="s">
        <v>62</v>
      </c>
      <c r="H3" s="4"/>
      <c r="I3" s="4">
        <v>46185</v>
      </c>
      <c r="J3" s="4"/>
      <c r="K3" s="6">
        <v>46249</v>
      </c>
      <c r="L3" s="4">
        <v>46262</v>
      </c>
      <c r="M3" s="4"/>
      <c r="N3" s="4">
        <v>46269</v>
      </c>
      <c r="O3" s="4"/>
      <c r="P3" s="45"/>
      <c r="Q3" s="45"/>
      <c r="R3" s="45"/>
      <c r="S3" s="45"/>
      <c r="T3" s="45"/>
      <c r="U3" s="45"/>
      <c r="V3" s="4">
        <v>46269</v>
      </c>
      <c r="W3" s="4"/>
      <c r="X3" s="4">
        <f>V3+7</f>
        <v>46276</v>
      </c>
      <c r="Y3" s="4"/>
      <c r="Z3" s="4">
        <f>X3+5</f>
        <v>46281</v>
      </c>
      <c r="AA3" s="4"/>
      <c r="AB3" s="45"/>
      <c r="AC3" s="45"/>
      <c r="AD3" s="45"/>
      <c r="AE3" s="45"/>
      <c r="AF3" s="4">
        <f>Z3+14</f>
        <v>46295</v>
      </c>
      <c r="AG3" s="4"/>
    </row>
    <row r="4" spans="1:33" x14ac:dyDescent="0.4">
      <c r="A4" s="2">
        <v>2</v>
      </c>
      <c r="B4" s="20" t="s">
        <v>97</v>
      </c>
      <c r="C4" s="19" t="s">
        <v>67</v>
      </c>
      <c r="D4" s="4"/>
      <c r="E4" s="4" t="s">
        <v>62</v>
      </c>
      <c r="F4" s="4"/>
      <c r="G4" s="4" t="s">
        <v>62</v>
      </c>
      <c r="H4" s="4"/>
      <c r="I4" s="4">
        <v>46165</v>
      </c>
      <c r="J4" s="4"/>
      <c r="K4" s="6">
        <v>46193</v>
      </c>
      <c r="L4" s="4"/>
      <c r="M4" s="4">
        <v>46207</v>
      </c>
      <c r="N4" s="4">
        <v>46262</v>
      </c>
      <c r="O4" s="4"/>
      <c r="P4" s="45"/>
      <c r="Q4" s="45"/>
      <c r="R4" s="45"/>
      <c r="S4" s="45"/>
      <c r="T4" s="45"/>
      <c r="U4" s="45"/>
      <c r="V4" s="4">
        <v>46262</v>
      </c>
      <c r="W4" s="4"/>
      <c r="X4" s="4">
        <f>V4+7</f>
        <v>46269</v>
      </c>
      <c r="Y4" s="4"/>
      <c r="Z4" s="4">
        <f>X4+7</f>
        <v>46276</v>
      </c>
      <c r="AA4" s="4"/>
      <c r="AB4" s="45"/>
      <c r="AC4" s="45"/>
      <c r="AD4" s="45"/>
      <c r="AE4" s="45"/>
      <c r="AF4" s="4">
        <f>Z4+14</f>
        <v>46290</v>
      </c>
      <c r="AG4" s="4"/>
    </row>
    <row r="5" spans="1:33" x14ac:dyDescent="0.4">
      <c r="A5" s="2">
        <v>3</v>
      </c>
      <c r="B5" s="20" t="s">
        <v>98</v>
      </c>
      <c r="C5" s="19" t="s">
        <v>68</v>
      </c>
      <c r="D5" s="4"/>
      <c r="E5" s="4" t="s">
        <v>62</v>
      </c>
      <c r="F5" s="4"/>
      <c r="G5" s="4" t="s">
        <v>62</v>
      </c>
      <c r="H5" s="4"/>
      <c r="I5" s="4">
        <v>46117</v>
      </c>
      <c r="J5" s="4"/>
      <c r="K5" s="6">
        <v>46165</v>
      </c>
      <c r="L5" s="4"/>
      <c r="M5" s="4">
        <v>46181</v>
      </c>
      <c r="N5" s="4" t="s">
        <v>108</v>
      </c>
      <c r="O5" s="4" t="s">
        <v>108</v>
      </c>
      <c r="P5" s="45"/>
      <c r="Q5" s="45"/>
      <c r="R5" s="45"/>
      <c r="S5" s="45"/>
      <c r="T5" s="45"/>
      <c r="U5" s="45"/>
      <c r="V5" s="9"/>
      <c r="W5" s="4">
        <v>46181</v>
      </c>
      <c r="X5" s="4"/>
      <c r="Y5" s="4"/>
      <c r="Z5" s="4"/>
      <c r="AA5" s="4" t="s">
        <v>62</v>
      </c>
      <c r="AB5" s="45"/>
      <c r="AC5" s="45"/>
      <c r="AD5" s="45"/>
      <c r="AE5" s="45"/>
      <c r="AF5" s="4">
        <v>46273</v>
      </c>
      <c r="AG5" s="4"/>
    </row>
    <row r="6" spans="1:33" x14ac:dyDescent="0.4">
      <c r="A6" s="2">
        <v>4</v>
      </c>
      <c r="B6" s="20" t="s">
        <v>99</v>
      </c>
      <c r="C6" s="19" t="s">
        <v>69</v>
      </c>
      <c r="D6" s="4"/>
      <c r="E6" s="4" t="s">
        <v>62</v>
      </c>
      <c r="F6" s="4"/>
      <c r="G6" s="4" t="s">
        <v>62</v>
      </c>
      <c r="H6" s="4"/>
      <c r="I6" s="4">
        <v>46186</v>
      </c>
      <c r="J6" s="4">
        <v>46262</v>
      </c>
      <c r="K6" s="6"/>
      <c r="L6" s="4">
        <v>46269</v>
      </c>
      <c r="M6" s="4"/>
      <c r="N6" s="4">
        <v>46276</v>
      </c>
      <c r="O6" s="4"/>
      <c r="P6" s="45"/>
      <c r="Q6" s="45"/>
      <c r="R6" s="45"/>
      <c r="S6" s="45"/>
      <c r="T6" s="45"/>
      <c r="U6" s="45"/>
      <c r="V6" s="4">
        <v>46276</v>
      </c>
      <c r="W6" s="4"/>
      <c r="X6" s="4">
        <f>V6+7</f>
        <v>46283</v>
      </c>
      <c r="Y6" s="4"/>
      <c r="Z6" s="4">
        <f>X6+7</f>
        <v>46290</v>
      </c>
      <c r="AA6" s="4"/>
      <c r="AB6" s="45"/>
      <c r="AC6" s="45"/>
      <c r="AD6" s="45"/>
      <c r="AE6" s="45"/>
      <c r="AF6" s="4">
        <f>Z6+14</f>
        <v>46304</v>
      </c>
      <c r="AG6" s="4"/>
    </row>
    <row r="7" spans="1:33" x14ac:dyDescent="0.4">
      <c r="A7" s="2">
        <v>5</v>
      </c>
      <c r="B7" s="20" t="s">
        <v>76</v>
      </c>
      <c r="C7" s="19" t="s">
        <v>77</v>
      </c>
      <c r="D7" s="4"/>
      <c r="E7" s="4" t="s">
        <v>62</v>
      </c>
      <c r="F7" s="4"/>
      <c r="G7" s="4" t="s">
        <v>62</v>
      </c>
      <c r="H7" s="4">
        <v>46262</v>
      </c>
      <c r="I7" s="4"/>
      <c r="J7" s="4">
        <v>46262</v>
      </c>
      <c r="K7" s="6"/>
      <c r="L7" s="4">
        <v>46269</v>
      </c>
      <c r="M7" s="4"/>
      <c r="N7" s="4">
        <v>46276</v>
      </c>
      <c r="O7" s="4"/>
      <c r="P7" s="45"/>
      <c r="Q7" s="45"/>
      <c r="R7" s="45"/>
      <c r="S7" s="45"/>
      <c r="T7" s="45"/>
      <c r="U7" s="45"/>
      <c r="V7" s="4">
        <v>46276</v>
      </c>
      <c r="W7" s="4"/>
      <c r="X7" s="4">
        <f>V7+7</f>
        <v>46283</v>
      </c>
      <c r="Y7" s="4"/>
      <c r="Z7" s="4">
        <f>X7+7</f>
        <v>46290</v>
      </c>
      <c r="AA7" s="4"/>
      <c r="AB7" s="45"/>
      <c r="AC7" s="45"/>
      <c r="AD7" s="45"/>
      <c r="AE7" s="45"/>
      <c r="AF7" s="4">
        <f>Z7+14</f>
        <v>46304</v>
      </c>
      <c r="AG7" s="4"/>
    </row>
    <row r="8" spans="1:33" x14ac:dyDescent="0.4">
      <c r="A8" s="2">
        <v>6</v>
      </c>
      <c r="B8" s="20" t="s">
        <v>100</v>
      </c>
      <c r="C8" s="19" t="s">
        <v>70</v>
      </c>
      <c r="D8" s="4"/>
      <c r="E8" s="4" t="s">
        <v>62</v>
      </c>
      <c r="F8" s="4"/>
      <c r="G8" s="4" t="s">
        <v>62</v>
      </c>
      <c r="H8" s="4"/>
      <c r="I8" s="4">
        <v>46172</v>
      </c>
      <c r="J8" s="4">
        <v>46185</v>
      </c>
      <c r="K8" s="6"/>
      <c r="L8" s="4"/>
      <c r="M8" s="4">
        <v>46199</v>
      </c>
      <c r="N8" s="4"/>
      <c r="O8" s="4">
        <v>46207</v>
      </c>
      <c r="P8" s="45"/>
      <c r="Q8" s="45"/>
      <c r="R8" s="45"/>
      <c r="S8" s="45"/>
      <c r="T8" s="45"/>
      <c r="U8" s="45"/>
      <c r="V8" s="9"/>
      <c r="W8" s="4">
        <v>46207</v>
      </c>
      <c r="X8" s="4"/>
      <c r="Y8" s="4"/>
      <c r="Z8" s="4"/>
      <c r="AA8" s="4" t="s">
        <v>62</v>
      </c>
      <c r="AB8" s="45"/>
      <c r="AC8" s="45"/>
      <c r="AD8" s="45"/>
      <c r="AE8" s="45"/>
      <c r="AF8" s="4">
        <v>46273</v>
      </c>
      <c r="AG8" s="4"/>
    </row>
    <row r="9" spans="1:33" x14ac:dyDescent="0.4">
      <c r="A9" s="2">
        <v>7</v>
      </c>
      <c r="B9" s="20" t="s">
        <v>101</v>
      </c>
      <c r="C9" s="19" t="s">
        <v>71</v>
      </c>
      <c r="D9" s="4"/>
      <c r="E9" s="4" t="s">
        <v>62</v>
      </c>
      <c r="F9" s="4"/>
      <c r="G9" s="4" t="s">
        <v>62</v>
      </c>
      <c r="H9" s="4"/>
      <c r="I9" s="4">
        <v>46185</v>
      </c>
      <c r="J9" s="4">
        <v>46207</v>
      </c>
      <c r="K9" s="4"/>
      <c r="L9" s="4"/>
      <c r="M9" s="4">
        <v>46214</v>
      </c>
      <c r="N9" s="4"/>
      <c r="O9" s="4">
        <v>46221</v>
      </c>
      <c r="P9" s="45"/>
      <c r="Q9" s="45"/>
      <c r="R9" s="45"/>
      <c r="S9" s="45"/>
      <c r="T9" s="45"/>
      <c r="U9" s="45"/>
      <c r="V9" s="9"/>
      <c r="W9" s="4">
        <v>46221</v>
      </c>
      <c r="X9" s="4"/>
      <c r="Y9" s="4"/>
      <c r="Z9" s="4"/>
      <c r="AA9" s="4" t="s">
        <v>62</v>
      </c>
      <c r="AB9" s="45"/>
      <c r="AC9" s="45"/>
      <c r="AD9" s="45"/>
      <c r="AE9" s="45"/>
      <c r="AF9" s="4">
        <v>46273</v>
      </c>
      <c r="AG9" s="4"/>
    </row>
    <row r="10" spans="1:33" x14ac:dyDescent="0.4">
      <c r="A10" s="2">
        <v>8</v>
      </c>
      <c r="B10" s="20" t="s">
        <v>78</v>
      </c>
      <c r="C10" s="19" t="s">
        <v>79</v>
      </c>
      <c r="D10" s="4"/>
      <c r="E10" s="4" t="s">
        <v>62</v>
      </c>
      <c r="F10" s="4"/>
      <c r="G10" s="4" t="s">
        <v>62</v>
      </c>
      <c r="H10" s="4">
        <v>46262</v>
      </c>
      <c r="I10" s="4"/>
      <c r="J10" s="4" t="s">
        <v>108</v>
      </c>
      <c r="K10" s="21" t="s">
        <v>108</v>
      </c>
      <c r="L10" s="4">
        <v>46262</v>
      </c>
      <c r="M10" s="4"/>
      <c r="N10" s="4">
        <f>L10+7</f>
        <v>46269</v>
      </c>
      <c r="O10" s="4"/>
      <c r="P10" s="45"/>
      <c r="Q10" s="45"/>
      <c r="R10" s="45"/>
      <c r="S10" s="45"/>
      <c r="T10" s="45"/>
      <c r="U10" s="45"/>
      <c r="V10" s="4">
        <f>N10</f>
        <v>46269</v>
      </c>
      <c r="W10" s="4"/>
      <c r="X10" s="4">
        <f>V10+7</f>
        <v>46276</v>
      </c>
      <c r="Y10" s="4"/>
      <c r="Z10" s="4">
        <f>X10+7</f>
        <v>46283</v>
      </c>
      <c r="AA10" s="4"/>
      <c r="AB10" s="45"/>
      <c r="AC10" s="45"/>
      <c r="AD10" s="45"/>
      <c r="AE10" s="45"/>
      <c r="AF10" s="4">
        <f>Z10+14</f>
        <v>46297</v>
      </c>
      <c r="AG10" s="4"/>
    </row>
    <row r="11" spans="1:33" x14ac:dyDescent="0.4">
      <c r="A11" s="2">
        <v>9</v>
      </c>
      <c r="B11" s="20" t="s">
        <v>80</v>
      </c>
      <c r="C11" s="19" t="s">
        <v>81</v>
      </c>
      <c r="D11" s="4"/>
      <c r="E11" s="4" t="s">
        <v>62</v>
      </c>
      <c r="F11" s="4"/>
      <c r="G11" s="4" t="s">
        <v>62</v>
      </c>
      <c r="H11" s="4"/>
      <c r="I11" s="4" t="s">
        <v>62</v>
      </c>
      <c r="J11" s="4"/>
      <c r="K11" s="4" t="s">
        <v>62</v>
      </c>
      <c r="L11" s="4"/>
      <c r="M11" s="4" t="s">
        <v>62</v>
      </c>
      <c r="N11" s="4"/>
      <c r="O11" s="4" t="s">
        <v>62</v>
      </c>
      <c r="P11" s="45"/>
      <c r="Q11" s="45"/>
      <c r="R11" s="45"/>
      <c r="S11" s="45"/>
      <c r="T11" s="45"/>
      <c r="U11" s="45"/>
      <c r="V11" s="9"/>
      <c r="W11" s="4" t="s">
        <v>62</v>
      </c>
      <c r="X11" s="4"/>
      <c r="Y11" s="4" t="s">
        <v>62</v>
      </c>
      <c r="Z11" s="4"/>
      <c r="AA11" s="4" t="s">
        <v>62</v>
      </c>
      <c r="AB11" s="45"/>
      <c r="AC11" s="45"/>
      <c r="AD11" s="45"/>
      <c r="AE11" s="45"/>
      <c r="AF11" s="4">
        <v>46273</v>
      </c>
      <c r="AG11" s="4"/>
    </row>
    <row r="12" spans="1:33" x14ac:dyDescent="0.4">
      <c r="A12" s="2">
        <v>10</v>
      </c>
      <c r="B12" s="20" t="s">
        <v>82</v>
      </c>
      <c r="C12" s="19" t="s">
        <v>83</v>
      </c>
      <c r="D12" s="4"/>
      <c r="E12" s="4" t="s">
        <v>62</v>
      </c>
      <c r="F12" s="4"/>
      <c r="G12" s="4" t="s">
        <v>62</v>
      </c>
      <c r="H12" s="4"/>
      <c r="I12" s="4" t="s">
        <v>62</v>
      </c>
      <c r="J12" s="4"/>
      <c r="K12" s="4" t="s">
        <v>62</v>
      </c>
      <c r="L12" s="4"/>
      <c r="M12" s="4" t="s">
        <v>62</v>
      </c>
      <c r="N12" s="4"/>
      <c r="O12" s="4" t="s">
        <v>62</v>
      </c>
      <c r="P12" s="45"/>
      <c r="Q12" s="45"/>
      <c r="R12" s="45"/>
      <c r="S12" s="45"/>
      <c r="T12" s="45"/>
      <c r="U12" s="45"/>
      <c r="V12" s="9"/>
      <c r="W12" s="4" t="s">
        <v>62</v>
      </c>
      <c r="X12" s="4"/>
      <c r="Y12" s="4" t="s">
        <v>62</v>
      </c>
      <c r="Z12" s="4"/>
      <c r="AA12" s="4" t="s">
        <v>62</v>
      </c>
      <c r="AB12" s="45"/>
      <c r="AC12" s="45"/>
      <c r="AD12" s="45"/>
      <c r="AE12" s="45"/>
      <c r="AF12" s="4">
        <v>46273</v>
      </c>
      <c r="AG12" s="4"/>
    </row>
    <row r="13" spans="1:33" x14ac:dyDescent="0.4">
      <c r="A13" s="2">
        <v>11</v>
      </c>
      <c r="B13" s="20" t="s">
        <v>84</v>
      </c>
      <c r="C13" s="19" t="s">
        <v>83</v>
      </c>
      <c r="D13" s="4"/>
      <c r="E13" s="4" t="s">
        <v>62</v>
      </c>
      <c r="F13" s="4"/>
      <c r="G13" s="4" t="s">
        <v>62</v>
      </c>
      <c r="H13" s="4"/>
      <c r="I13" s="4" t="s">
        <v>62</v>
      </c>
      <c r="J13" s="4"/>
      <c r="K13" s="4" t="s">
        <v>62</v>
      </c>
      <c r="L13" s="4"/>
      <c r="M13" s="4" t="s">
        <v>62</v>
      </c>
      <c r="N13" s="4"/>
      <c r="O13" s="4" t="s">
        <v>62</v>
      </c>
      <c r="P13" s="45"/>
      <c r="Q13" s="45"/>
      <c r="R13" s="45"/>
      <c r="S13" s="45"/>
      <c r="T13" s="45"/>
      <c r="U13" s="45"/>
      <c r="V13" s="9"/>
      <c r="W13" s="4" t="s">
        <v>62</v>
      </c>
      <c r="X13" s="4"/>
      <c r="Y13" s="4" t="s">
        <v>62</v>
      </c>
      <c r="Z13" s="4"/>
      <c r="AA13" s="4" t="s">
        <v>62</v>
      </c>
      <c r="AB13" s="45"/>
      <c r="AC13" s="45"/>
      <c r="AD13" s="45"/>
      <c r="AE13" s="45"/>
      <c r="AF13" s="4">
        <v>46273</v>
      </c>
      <c r="AG13" s="4"/>
    </row>
    <row r="14" spans="1:33" x14ac:dyDescent="0.4">
      <c r="A14" s="2">
        <v>12</v>
      </c>
      <c r="B14" s="20" t="s">
        <v>85</v>
      </c>
      <c r="C14" s="19" t="s">
        <v>86</v>
      </c>
      <c r="D14" s="4"/>
      <c r="E14" s="4" t="s">
        <v>62</v>
      </c>
      <c r="F14" s="4"/>
      <c r="G14" s="4" t="s">
        <v>62</v>
      </c>
      <c r="H14" s="4"/>
      <c r="I14" s="4" t="s">
        <v>62</v>
      </c>
      <c r="J14" s="4"/>
      <c r="K14" s="4" t="s">
        <v>62</v>
      </c>
      <c r="L14" s="4"/>
      <c r="M14" s="4" t="s">
        <v>62</v>
      </c>
      <c r="N14" s="4"/>
      <c r="O14" s="4" t="s">
        <v>62</v>
      </c>
      <c r="P14" s="45"/>
      <c r="Q14" s="45"/>
      <c r="R14" s="45"/>
      <c r="S14" s="45"/>
      <c r="T14" s="45"/>
      <c r="U14" s="45"/>
      <c r="V14" s="9"/>
      <c r="W14" s="4" t="s">
        <v>62</v>
      </c>
      <c r="X14" s="4"/>
      <c r="Y14" s="4" t="s">
        <v>62</v>
      </c>
      <c r="Z14" s="4"/>
      <c r="AA14" s="4" t="s">
        <v>62</v>
      </c>
      <c r="AB14" s="45"/>
      <c r="AC14" s="45"/>
      <c r="AD14" s="45"/>
      <c r="AE14" s="45"/>
      <c r="AF14" s="4">
        <v>46273</v>
      </c>
      <c r="AG14" s="4"/>
    </row>
    <row r="15" spans="1:33" x14ac:dyDescent="0.4">
      <c r="A15" s="2">
        <v>13</v>
      </c>
      <c r="B15" s="20" t="s">
        <v>87</v>
      </c>
      <c r="C15" s="19" t="s">
        <v>83</v>
      </c>
      <c r="D15" s="4"/>
      <c r="E15" s="4" t="s">
        <v>62</v>
      </c>
      <c r="F15" s="4"/>
      <c r="G15" s="4" t="s">
        <v>62</v>
      </c>
      <c r="H15" s="4"/>
      <c r="I15" s="4" t="s">
        <v>62</v>
      </c>
      <c r="J15" s="4"/>
      <c r="K15" s="4" t="s">
        <v>62</v>
      </c>
      <c r="L15" s="4"/>
      <c r="M15" s="4" t="s">
        <v>62</v>
      </c>
      <c r="N15" s="4"/>
      <c r="O15" s="4" t="s">
        <v>62</v>
      </c>
      <c r="P15" s="45"/>
      <c r="Q15" s="45"/>
      <c r="R15" s="45"/>
      <c r="S15" s="45"/>
      <c r="T15" s="45"/>
      <c r="U15" s="45"/>
      <c r="V15" s="9"/>
      <c r="W15" s="4" t="s">
        <v>62</v>
      </c>
      <c r="X15" s="4"/>
      <c r="Y15" s="4" t="s">
        <v>62</v>
      </c>
      <c r="Z15" s="4"/>
      <c r="AA15" s="4" t="s">
        <v>62</v>
      </c>
      <c r="AB15" s="45"/>
      <c r="AC15" s="45"/>
      <c r="AD15" s="45"/>
      <c r="AE15" s="45"/>
      <c r="AF15" s="4">
        <v>46273</v>
      </c>
      <c r="AG15" s="4"/>
    </row>
    <row r="16" spans="1:33" x14ac:dyDescent="0.4">
      <c r="A16" s="2">
        <v>14</v>
      </c>
      <c r="B16" s="20" t="s">
        <v>102</v>
      </c>
      <c r="C16" s="19" t="s">
        <v>72</v>
      </c>
      <c r="D16" s="4"/>
      <c r="E16" s="4" t="s">
        <v>62</v>
      </c>
      <c r="F16" s="4"/>
      <c r="G16" s="4" t="s">
        <v>62</v>
      </c>
      <c r="H16" s="4"/>
      <c r="I16" s="4" t="s">
        <v>62</v>
      </c>
      <c r="J16" s="4">
        <v>46269</v>
      </c>
      <c r="K16" s="6"/>
      <c r="L16" s="4">
        <v>46283</v>
      </c>
      <c r="M16" s="4"/>
      <c r="N16" s="4">
        <v>46290</v>
      </c>
      <c r="O16" s="4"/>
      <c r="P16" s="45"/>
      <c r="Q16" s="45"/>
      <c r="R16" s="45"/>
      <c r="S16" s="45"/>
      <c r="T16" s="45"/>
      <c r="U16" s="45"/>
      <c r="V16" s="4">
        <v>46290</v>
      </c>
      <c r="W16" s="4"/>
      <c r="X16" s="4">
        <f>V16+7</f>
        <v>46297</v>
      </c>
      <c r="Y16" s="4"/>
      <c r="Z16" s="4">
        <f>X16+7</f>
        <v>46304</v>
      </c>
      <c r="AA16" s="4"/>
      <c r="AB16" s="45"/>
      <c r="AC16" s="45"/>
      <c r="AD16" s="45"/>
      <c r="AE16" s="45"/>
      <c r="AF16" s="4">
        <f>Z16+14</f>
        <v>46318</v>
      </c>
      <c r="AG16" s="4"/>
    </row>
    <row r="17" spans="1:33" x14ac:dyDescent="0.4">
      <c r="A17" s="2">
        <v>15</v>
      </c>
      <c r="B17" s="20" t="s">
        <v>103</v>
      </c>
      <c r="C17" s="19" t="s">
        <v>88</v>
      </c>
      <c r="D17" s="4"/>
      <c r="E17" s="4" t="s">
        <v>62</v>
      </c>
      <c r="F17" s="4"/>
      <c r="G17" s="4" t="s">
        <v>62</v>
      </c>
      <c r="H17" s="4"/>
      <c r="I17" s="4" t="s">
        <v>62</v>
      </c>
      <c r="J17" s="4"/>
      <c r="K17" s="4" t="s">
        <v>62</v>
      </c>
      <c r="L17" s="4"/>
      <c r="M17" s="4" t="s">
        <v>62</v>
      </c>
      <c r="N17" s="4">
        <v>46263</v>
      </c>
      <c r="O17" s="4"/>
      <c r="P17" s="45"/>
      <c r="Q17" s="45"/>
      <c r="R17" s="45"/>
      <c r="S17" s="45"/>
      <c r="T17" s="45"/>
      <c r="U17" s="45"/>
      <c r="V17" s="4">
        <v>46263</v>
      </c>
      <c r="W17" s="4"/>
      <c r="X17" s="4">
        <f>V17+7</f>
        <v>46270</v>
      </c>
      <c r="Y17" s="4"/>
      <c r="Z17" s="4">
        <f>X17+7</f>
        <v>46277</v>
      </c>
      <c r="AA17" s="4"/>
      <c r="AB17" s="45"/>
      <c r="AC17" s="45"/>
      <c r="AD17" s="45"/>
      <c r="AE17" s="45"/>
      <c r="AF17" s="4">
        <f>Z17+14</f>
        <v>46291</v>
      </c>
      <c r="AG17" s="4"/>
    </row>
    <row r="18" spans="1:33" x14ac:dyDescent="0.4">
      <c r="A18" s="2">
        <v>16</v>
      </c>
      <c r="B18" s="20" t="s">
        <v>104</v>
      </c>
      <c r="C18" s="19" t="s">
        <v>73</v>
      </c>
      <c r="D18" s="4"/>
      <c r="E18" s="4" t="s">
        <v>62</v>
      </c>
      <c r="F18" s="4"/>
      <c r="G18" s="4" t="s">
        <v>62</v>
      </c>
      <c r="H18" s="4"/>
      <c r="I18" s="4" t="s">
        <v>62</v>
      </c>
      <c r="J18" s="4"/>
      <c r="K18" s="4" t="s">
        <v>62</v>
      </c>
      <c r="L18" s="4"/>
      <c r="M18" s="4" t="s">
        <v>62</v>
      </c>
      <c r="N18" s="4"/>
      <c r="O18" s="4" t="s">
        <v>62</v>
      </c>
      <c r="P18" s="45"/>
      <c r="Q18" s="45"/>
      <c r="R18" s="45"/>
      <c r="S18" s="45"/>
      <c r="T18" s="45"/>
      <c r="U18" s="45"/>
      <c r="V18" s="9"/>
      <c r="W18" s="4" t="s">
        <v>62</v>
      </c>
      <c r="X18" s="4"/>
      <c r="Y18" s="4" t="s">
        <v>62</v>
      </c>
      <c r="Z18" s="4"/>
      <c r="AA18" s="4" t="s">
        <v>62</v>
      </c>
      <c r="AB18" s="45"/>
      <c r="AC18" s="45"/>
      <c r="AD18" s="45"/>
      <c r="AE18" s="45"/>
      <c r="AF18" s="4"/>
      <c r="AG18" s="4" t="s">
        <v>62</v>
      </c>
    </row>
    <row r="19" spans="1:33" x14ac:dyDescent="0.4">
      <c r="A19" s="2">
        <v>17</v>
      </c>
      <c r="B19" s="20" t="s">
        <v>105</v>
      </c>
      <c r="C19" s="19" t="s">
        <v>74</v>
      </c>
      <c r="D19" s="4"/>
      <c r="E19" s="4" t="s">
        <v>62</v>
      </c>
      <c r="F19" s="4"/>
      <c r="G19" s="4" t="s">
        <v>62</v>
      </c>
      <c r="H19" s="4">
        <v>46262</v>
      </c>
      <c r="I19" s="4"/>
      <c r="J19" s="4">
        <f>H19+7</f>
        <v>46269</v>
      </c>
      <c r="K19" s="6"/>
      <c r="L19" s="4">
        <v>46283</v>
      </c>
      <c r="M19" s="4"/>
      <c r="N19" s="4">
        <v>46290</v>
      </c>
      <c r="O19" s="4"/>
      <c r="P19" s="45"/>
      <c r="Q19" s="45"/>
      <c r="R19" s="45"/>
      <c r="S19" s="45"/>
      <c r="T19" s="45"/>
      <c r="U19" s="45"/>
      <c r="V19" s="4">
        <v>46290</v>
      </c>
      <c r="W19" s="4"/>
      <c r="X19" s="4">
        <f>V19+7</f>
        <v>46297</v>
      </c>
      <c r="Y19" s="4"/>
      <c r="Z19" s="4">
        <f>X19+7</f>
        <v>46304</v>
      </c>
      <c r="AA19" s="4"/>
      <c r="AB19" s="45"/>
      <c r="AC19" s="45"/>
      <c r="AD19" s="45"/>
      <c r="AE19" s="45"/>
      <c r="AF19" s="4">
        <f t="shared" ref="AF19:AF24" si="0">Z19+14</f>
        <v>46318</v>
      </c>
      <c r="AG19" s="4"/>
    </row>
    <row r="20" spans="1:33" x14ac:dyDescent="0.4">
      <c r="A20" s="2">
        <v>18</v>
      </c>
      <c r="B20" s="20" t="s">
        <v>107</v>
      </c>
      <c r="C20" s="19" t="s">
        <v>89</v>
      </c>
      <c r="D20" s="4"/>
      <c r="E20" s="4" t="s">
        <v>62</v>
      </c>
      <c r="F20" s="4"/>
      <c r="G20" s="4" t="s">
        <v>62</v>
      </c>
      <c r="H20" s="4">
        <v>46262</v>
      </c>
      <c r="I20" s="4"/>
      <c r="J20" s="4">
        <v>46262</v>
      </c>
      <c r="K20" s="4"/>
      <c r="L20" s="4">
        <v>46276</v>
      </c>
      <c r="M20" s="4"/>
      <c r="N20" s="4">
        <v>46283</v>
      </c>
      <c r="O20" s="4"/>
      <c r="P20" s="45"/>
      <c r="Q20" s="45"/>
      <c r="R20" s="45"/>
      <c r="S20" s="45"/>
      <c r="T20" s="45"/>
      <c r="U20" s="45"/>
      <c r="V20" s="4">
        <v>46283</v>
      </c>
      <c r="W20" s="4"/>
      <c r="X20" s="4">
        <f t="shared" ref="X20:Z24" si="1">V20+7</f>
        <v>46290</v>
      </c>
      <c r="Y20" s="4"/>
      <c r="Z20" s="4">
        <f t="shared" si="1"/>
        <v>46297</v>
      </c>
      <c r="AA20" s="4"/>
      <c r="AB20" s="45"/>
      <c r="AC20" s="45"/>
      <c r="AD20" s="45"/>
      <c r="AE20" s="45"/>
      <c r="AF20" s="4">
        <f t="shared" si="0"/>
        <v>46311</v>
      </c>
      <c r="AG20" s="4"/>
    </row>
    <row r="21" spans="1:33" x14ac:dyDescent="0.4">
      <c r="A21" s="2">
        <v>19</v>
      </c>
      <c r="B21" s="20" t="s">
        <v>106</v>
      </c>
      <c r="C21" s="19" t="s">
        <v>75</v>
      </c>
      <c r="D21" s="4"/>
      <c r="E21" s="4" t="s">
        <v>62</v>
      </c>
      <c r="F21" s="4"/>
      <c r="G21" s="4" t="s">
        <v>62</v>
      </c>
      <c r="H21" s="4">
        <v>46269</v>
      </c>
      <c r="I21" s="4"/>
      <c r="J21" s="4">
        <v>46311</v>
      </c>
      <c r="K21" s="6"/>
      <c r="L21" s="4">
        <v>46325</v>
      </c>
      <c r="M21" s="4"/>
      <c r="N21" s="4">
        <v>46332</v>
      </c>
      <c r="O21" s="4"/>
      <c r="P21" s="45"/>
      <c r="Q21" s="45"/>
      <c r="R21" s="45"/>
      <c r="S21" s="45"/>
      <c r="T21" s="45"/>
      <c r="U21" s="45"/>
      <c r="V21" s="4">
        <v>46332</v>
      </c>
      <c r="W21" s="4"/>
      <c r="X21" s="4">
        <f t="shared" si="1"/>
        <v>46339</v>
      </c>
      <c r="Y21" s="4"/>
      <c r="Z21" s="4">
        <f t="shared" si="1"/>
        <v>46346</v>
      </c>
      <c r="AA21" s="4"/>
      <c r="AB21" s="45"/>
      <c r="AC21" s="45"/>
      <c r="AD21" s="45"/>
      <c r="AE21" s="45"/>
      <c r="AF21" s="4">
        <f t="shared" si="0"/>
        <v>46360</v>
      </c>
      <c r="AG21" s="4"/>
    </row>
    <row r="22" spans="1:33" x14ac:dyDescent="0.4">
      <c r="A22" s="2">
        <v>20</v>
      </c>
      <c r="B22" s="20" t="s">
        <v>91</v>
      </c>
      <c r="C22" s="19" t="s">
        <v>90</v>
      </c>
      <c r="D22" s="4"/>
      <c r="E22" s="4" t="s">
        <v>62</v>
      </c>
      <c r="F22" s="4"/>
      <c r="G22" s="4" t="s">
        <v>62</v>
      </c>
      <c r="H22" s="4">
        <v>46269</v>
      </c>
      <c r="I22" s="4"/>
      <c r="J22" s="4">
        <v>46283</v>
      </c>
      <c r="K22" s="4"/>
      <c r="L22" s="4">
        <v>46297</v>
      </c>
      <c r="M22" s="4"/>
      <c r="N22" s="4" t="s">
        <v>108</v>
      </c>
      <c r="O22" s="4"/>
      <c r="P22" s="45"/>
      <c r="Q22" s="45"/>
      <c r="R22" s="45"/>
      <c r="S22" s="45"/>
      <c r="T22" s="45"/>
      <c r="U22" s="45"/>
      <c r="V22" s="4">
        <v>46297</v>
      </c>
      <c r="W22" s="4"/>
      <c r="X22" s="4">
        <f t="shared" si="1"/>
        <v>46304</v>
      </c>
      <c r="Y22" s="4"/>
      <c r="Z22" s="4">
        <f t="shared" si="1"/>
        <v>46311</v>
      </c>
      <c r="AA22" s="4"/>
      <c r="AB22" s="45"/>
      <c r="AC22" s="45"/>
      <c r="AD22" s="45"/>
      <c r="AE22" s="45"/>
      <c r="AF22" s="4">
        <f t="shared" si="0"/>
        <v>46325</v>
      </c>
      <c r="AG22" s="4"/>
    </row>
    <row r="23" spans="1:33" x14ac:dyDescent="0.4">
      <c r="A23" s="2">
        <v>21</v>
      </c>
      <c r="B23" s="20" t="s">
        <v>92</v>
      </c>
      <c r="C23" s="19" t="s">
        <v>93</v>
      </c>
      <c r="D23" s="4"/>
      <c r="E23" s="4" t="s">
        <v>62</v>
      </c>
      <c r="F23" s="4"/>
      <c r="G23" s="4" t="s">
        <v>62</v>
      </c>
      <c r="H23" s="4">
        <v>46283</v>
      </c>
      <c r="I23" s="4"/>
      <c r="J23" s="4">
        <v>46286</v>
      </c>
      <c r="K23" s="4"/>
      <c r="L23" s="4">
        <v>46311</v>
      </c>
      <c r="M23" s="4"/>
      <c r="N23" s="4">
        <v>46318</v>
      </c>
      <c r="O23" s="4"/>
      <c r="P23" s="45"/>
      <c r="Q23" s="45"/>
      <c r="R23" s="45"/>
      <c r="S23" s="45"/>
      <c r="T23" s="45"/>
      <c r="U23" s="45"/>
      <c r="V23" s="4">
        <v>46318</v>
      </c>
      <c r="W23" s="4"/>
      <c r="X23" s="4">
        <f t="shared" si="1"/>
        <v>46325</v>
      </c>
      <c r="Y23" s="4"/>
      <c r="Z23" s="4">
        <f t="shared" si="1"/>
        <v>46332</v>
      </c>
      <c r="AA23" s="4"/>
      <c r="AB23" s="45"/>
      <c r="AC23" s="45"/>
      <c r="AD23" s="45"/>
      <c r="AE23" s="45"/>
      <c r="AF23" s="4">
        <f t="shared" si="0"/>
        <v>46346</v>
      </c>
      <c r="AG23" s="4"/>
    </row>
    <row r="24" spans="1:33" x14ac:dyDescent="0.4">
      <c r="A24" s="2">
        <v>22</v>
      </c>
      <c r="B24" s="20" t="s">
        <v>94</v>
      </c>
      <c r="C24" s="19" t="s">
        <v>95</v>
      </c>
      <c r="D24" s="4"/>
      <c r="E24" s="4" t="s">
        <v>62</v>
      </c>
      <c r="F24" s="4"/>
      <c r="G24" s="4" t="s">
        <v>62</v>
      </c>
      <c r="H24" s="4">
        <v>46283</v>
      </c>
      <c r="I24" s="4"/>
      <c r="J24" s="4">
        <v>46311</v>
      </c>
      <c r="K24" s="4"/>
      <c r="L24" s="4">
        <v>46325</v>
      </c>
      <c r="M24" s="4"/>
      <c r="N24" s="4">
        <v>46332</v>
      </c>
      <c r="O24" s="4"/>
      <c r="P24" s="45"/>
      <c r="Q24" s="45"/>
      <c r="R24" s="45"/>
      <c r="S24" s="45"/>
      <c r="T24" s="45"/>
      <c r="U24" s="45"/>
      <c r="V24" s="4">
        <v>46332</v>
      </c>
      <c r="W24" s="4"/>
      <c r="X24" s="4">
        <f t="shared" si="1"/>
        <v>46339</v>
      </c>
      <c r="Y24" s="4"/>
      <c r="Z24" s="4">
        <f t="shared" si="1"/>
        <v>46346</v>
      </c>
      <c r="AA24" s="4"/>
      <c r="AB24" s="45"/>
      <c r="AC24" s="45"/>
      <c r="AD24" s="45"/>
      <c r="AE24" s="45"/>
      <c r="AF24" s="4">
        <f t="shared" si="0"/>
        <v>46360</v>
      </c>
      <c r="AG24" s="4"/>
    </row>
    <row r="25" spans="1:33" x14ac:dyDescent="0.4">
      <c r="G25" s="4"/>
    </row>
    <row r="43" spans="14:15" x14ac:dyDescent="0.4">
      <c r="N43" s="7"/>
      <c r="O43" s="7"/>
    </row>
    <row r="45" spans="14:15" x14ac:dyDescent="0.4">
      <c r="N45" s="7"/>
    </row>
  </sheetData>
  <autoFilter ref="A2:AG24" xr:uid="{00000000-0009-0000-0000-000000000000}"/>
  <mergeCells count="18">
    <mergeCell ref="T1:U1"/>
    <mergeCell ref="V1:W1"/>
    <mergeCell ref="A1:A2"/>
    <mergeCell ref="B1:B2"/>
    <mergeCell ref="D1:E1"/>
    <mergeCell ref="F1:G1"/>
    <mergeCell ref="H1:I1"/>
    <mergeCell ref="J1:K1"/>
    <mergeCell ref="C1:C2"/>
    <mergeCell ref="L1:M1"/>
    <mergeCell ref="N1:O1"/>
    <mergeCell ref="P1:Q1"/>
    <mergeCell ref="R1:S1"/>
    <mergeCell ref="X1:Y1"/>
    <mergeCell ref="Z1:AA1"/>
    <mergeCell ref="AB1:AC1"/>
    <mergeCell ref="AD1:AE1"/>
    <mergeCell ref="AF1:AG1"/>
  </mergeCells>
  <phoneticPr fontId="6" type="noConversion"/>
  <conditionalFormatting sqref="B3:B24">
    <cfRule type="duplicateValues" dxfId="0" priority="7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57FB-F77B-4E24-8B18-B6DC5934D935}">
  <dimension ref="A1:AD50"/>
  <sheetViews>
    <sheetView workbookViewId="0">
      <pane xSplit="2" ySplit="2" topLeftCell="C15" activePane="bottomRight" state="frozen"/>
      <selection pane="topRight"/>
      <selection pane="bottomLeft"/>
      <selection pane="bottomRight" activeCell="S14" sqref="S14"/>
    </sheetView>
  </sheetViews>
  <sheetFormatPr defaultColWidth="40.296875" defaultRowHeight="15.6" x14ac:dyDescent="0.4"/>
  <cols>
    <col min="1" max="1" width="3.796875" style="5" bestFit="1" customWidth="1"/>
    <col min="2" max="2" width="14.296875" style="5" bestFit="1" customWidth="1"/>
    <col min="3" max="3" width="11.796875" style="5" bestFit="1" customWidth="1"/>
    <col min="4" max="4" width="10.296875" style="5" bestFit="1" customWidth="1"/>
    <col min="5" max="5" width="11.796875" style="5" bestFit="1" customWidth="1"/>
    <col min="6" max="6" width="10.296875" style="5" bestFit="1" customWidth="1"/>
    <col min="7" max="7" width="11.796875" style="5" bestFit="1" customWidth="1"/>
    <col min="8" max="8" width="10.296875" style="5" bestFit="1" customWidth="1"/>
    <col min="9" max="9" width="11.796875" style="5" bestFit="1" customWidth="1"/>
    <col min="10" max="10" width="10.296875" style="5" bestFit="1" customWidth="1"/>
    <col min="11" max="11" width="11.796875" style="5" bestFit="1" customWidth="1"/>
    <col min="12" max="12" width="11.296875" style="5" bestFit="1" customWidth="1"/>
    <col min="13" max="13" width="11.796875" style="5" bestFit="1" customWidth="1"/>
    <col min="14" max="14" width="10.296875" style="5" bestFit="1" customWidth="1"/>
    <col min="15" max="15" width="13.19921875" style="5" bestFit="1" customWidth="1"/>
    <col min="16" max="16" width="10.296875" style="5" bestFit="1" customWidth="1"/>
    <col min="17" max="17" width="11.796875" style="5" bestFit="1" customWidth="1"/>
    <col min="18" max="18" width="10.296875" style="5" bestFit="1" customWidth="1"/>
    <col min="19" max="19" width="11.796875" style="5" bestFit="1" customWidth="1"/>
    <col min="20" max="20" width="10.296875" style="5" bestFit="1" customWidth="1"/>
    <col min="21" max="21" width="13.19921875" style="5" bestFit="1" customWidth="1"/>
    <col min="22" max="22" width="10.296875" style="5" bestFit="1" customWidth="1"/>
    <col min="23" max="26" width="10.296875" style="5" customWidth="1"/>
    <col min="27" max="27" width="11.796875" style="5" bestFit="1" customWidth="1"/>
    <col min="28" max="28" width="10.296875" style="5" bestFit="1" customWidth="1"/>
    <col min="29" max="29" width="11.796875" style="5" bestFit="1" customWidth="1"/>
    <col min="30" max="30" width="10.296875" style="5" bestFit="1" customWidth="1"/>
    <col min="31" max="31" width="40.296875" style="5" customWidth="1"/>
    <col min="32" max="16384" width="40.296875" style="5"/>
  </cols>
  <sheetData>
    <row r="1" spans="1:30" ht="17.399999999999999" x14ac:dyDescent="0.4">
      <c r="A1" s="24" t="s">
        <v>0</v>
      </c>
      <c r="B1" s="26" t="s">
        <v>1</v>
      </c>
      <c r="C1" s="24" t="s">
        <v>2</v>
      </c>
      <c r="D1" s="25"/>
      <c r="E1" s="24" t="s">
        <v>3</v>
      </c>
      <c r="F1" s="25"/>
      <c r="G1" s="24" t="s">
        <v>4</v>
      </c>
      <c r="H1" s="25"/>
      <c r="I1" s="24" t="s">
        <v>23</v>
      </c>
      <c r="J1" s="25"/>
      <c r="K1" s="24" t="s">
        <v>25</v>
      </c>
      <c r="L1" s="25"/>
      <c r="M1" s="24" t="s">
        <v>27</v>
      </c>
      <c r="N1" s="25"/>
      <c r="O1" s="24" t="s">
        <v>45</v>
      </c>
      <c r="P1" s="25"/>
      <c r="Q1" s="24" t="s">
        <v>47</v>
      </c>
      <c r="R1" s="25"/>
      <c r="S1" s="24" t="s">
        <v>49</v>
      </c>
      <c r="T1" s="25"/>
      <c r="U1" s="24" t="s">
        <v>51</v>
      </c>
      <c r="V1" s="25"/>
      <c r="W1" s="24" t="s">
        <v>32</v>
      </c>
      <c r="X1" s="25"/>
      <c r="Y1" s="24" t="s">
        <v>33</v>
      </c>
      <c r="Z1" s="25"/>
      <c r="AA1" s="24" t="s">
        <v>53</v>
      </c>
      <c r="AB1" s="25"/>
      <c r="AC1" s="24" t="s">
        <v>61</v>
      </c>
      <c r="AD1" s="25"/>
    </row>
    <row r="2" spans="1:30" ht="16.05" customHeight="1" x14ac:dyDescent="0.4">
      <c r="A2" s="28"/>
      <c r="B2" s="27"/>
      <c r="C2" s="1" t="s">
        <v>14</v>
      </c>
      <c r="D2" s="1" t="s">
        <v>15</v>
      </c>
      <c r="E2" s="1" t="s">
        <v>14</v>
      </c>
      <c r="F2" s="1" t="s">
        <v>15</v>
      </c>
      <c r="G2" s="1" t="s">
        <v>14</v>
      </c>
      <c r="H2" s="1" t="s">
        <v>15</v>
      </c>
      <c r="I2" s="1" t="s">
        <v>14</v>
      </c>
      <c r="J2" s="1" t="s">
        <v>15</v>
      </c>
      <c r="K2" s="1" t="s">
        <v>14</v>
      </c>
      <c r="L2" s="1" t="s">
        <v>15</v>
      </c>
      <c r="M2" s="1" t="s">
        <v>14</v>
      </c>
      <c r="N2" s="1" t="s">
        <v>15</v>
      </c>
      <c r="O2" s="1" t="s">
        <v>14</v>
      </c>
      <c r="P2" s="1" t="s">
        <v>15</v>
      </c>
      <c r="Q2" s="1" t="s">
        <v>14</v>
      </c>
      <c r="R2" s="1" t="s">
        <v>15</v>
      </c>
      <c r="S2" s="1" t="s">
        <v>14</v>
      </c>
      <c r="T2" s="1" t="s">
        <v>15</v>
      </c>
      <c r="U2" s="1" t="s">
        <v>14</v>
      </c>
      <c r="V2" s="1" t="s">
        <v>15</v>
      </c>
      <c r="W2" s="1" t="s">
        <v>14</v>
      </c>
      <c r="X2" s="1" t="s">
        <v>15</v>
      </c>
      <c r="Y2" s="1" t="s">
        <v>14</v>
      </c>
      <c r="Z2" s="1" t="s">
        <v>15</v>
      </c>
      <c r="AA2" s="1" t="s">
        <v>14</v>
      </c>
      <c r="AB2" s="1" t="s">
        <v>15</v>
      </c>
      <c r="AC2" s="1" t="s">
        <v>14</v>
      </c>
      <c r="AD2" s="1" t="s">
        <v>15</v>
      </c>
    </row>
    <row r="3" spans="1:30" x14ac:dyDescent="0.4">
      <c r="A3" s="2">
        <v>1</v>
      </c>
      <c r="B3" s="23" t="s">
        <v>109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8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4">
      <c r="A4" s="2">
        <v>2</v>
      </c>
      <c r="B4" s="22" t="s">
        <v>110</v>
      </c>
      <c r="C4" s="4"/>
      <c r="D4" s="4"/>
      <c r="E4" s="4"/>
      <c r="F4" s="4"/>
      <c r="G4" s="4"/>
      <c r="H4" s="4"/>
      <c r="I4" s="4"/>
      <c r="J4" s="6"/>
      <c r="K4" s="4"/>
      <c r="L4" s="4"/>
      <c r="M4" s="4"/>
      <c r="N4" s="4"/>
      <c r="O4" s="9"/>
      <c r="P4" s="4"/>
      <c r="Q4" s="4"/>
      <c r="R4" s="4"/>
      <c r="S4" s="4"/>
      <c r="T4" s="4"/>
      <c r="U4" s="9"/>
      <c r="V4" s="4"/>
      <c r="W4" s="4"/>
      <c r="X4" s="4"/>
      <c r="Y4" s="4"/>
      <c r="Z4" s="4"/>
      <c r="AA4" s="4"/>
      <c r="AB4" s="4"/>
      <c r="AC4" s="4"/>
      <c r="AD4" s="4"/>
    </row>
    <row r="5" spans="1:30" x14ac:dyDescent="0.4">
      <c r="A5" s="2">
        <v>3</v>
      </c>
      <c r="B5" s="22" t="s">
        <v>111</v>
      </c>
      <c r="C5" s="4"/>
      <c r="D5" s="4"/>
      <c r="E5" s="4"/>
      <c r="F5" s="4"/>
      <c r="G5" s="4"/>
      <c r="H5" s="4"/>
      <c r="I5" s="4"/>
      <c r="J5" s="6"/>
      <c r="K5" s="4"/>
      <c r="L5" s="4"/>
      <c r="M5" s="4"/>
      <c r="N5" s="4"/>
      <c r="O5" s="9"/>
      <c r="P5" s="4"/>
      <c r="Q5" s="4"/>
      <c r="R5" s="4"/>
      <c r="S5" s="4"/>
      <c r="T5" s="4"/>
      <c r="U5" s="9"/>
      <c r="V5" s="4"/>
      <c r="W5" s="4"/>
      <c r="X5" s="4"/>
      <c r="Y5" s="4"/>
      <c r="Z5" s="4"/>
      <c r="AA5" s="4"/>
      <c r="AB5" s="4"/>
      <c r="AC5" s="4"/>
      <c r="AD5" s="4"/>
    </row>
    <row r="6" spans="1:30" x14ac:dyDescent="0.4">
      <c r="A6" s="2">
        <v>4</v>
      </c>
      <c r="B6" s="22" t="s">
        <v>112</v>
      </c>
      <c r="C6" s="4"/>
      <c r="D6" s="4"/>
      <c r="E6" s="4"/>
      <c r="F6" s="4"/>
      <c r="G6" s="4"/>
      <c r="H6" s="4"/>
      <c r="I6" s="4"/>
      <c r="J6" s="6"/>
      <c r="K6" s="4"/>
      <c r="L6" s="4"/>
      <c r="M6" s="4"/>
      <c r="N6" s="4"/>
      <c r="O6" s="9"/>
      <c r="P6" s="4"/>
      <c r="Q6" s="4"/>
      <c r="R6" s="4"/>
      <c r="S6" s="4"/>
      <c r="T6" s="4"/>
      <c r="U6" s="9"/>
      <c r="V6" s="4"/>
      <c r="W6" s="4"/>
      <c r="X6" s="4"/>
      <c r="Y6" s="4"/>
      <c r="Z6" s="4"/>
      <c r="AA6" s="4"/>
      <c r="AB6" s="4"/>
      <c r="AC6" s="4"/>
      <c r="AD6" s="4"/>
    </row>
    <row r="7" spans="1:30" x14ac:dyDescent="0.4">
      <c r="A7" s="2">
        <v>5</v>
      </c>
      <c r="B7" s="23" t="s">
        <v>113</v>
      </c>
      <c r="C7" s="4"/>
      <c r="D7" s="4"/>
      <c r="E7" s="4"/>
      <c r="F7" s="4"/>
      <c r="G7" s="4"/>
      <c r="H7" s="4"/>
      <c r="I7" s="4"/>
      <c r="J7" s="6"/>
      <c r="K7" s="4"/>
      <c r="L7" s="4"/>
      <c r="M7" s="4"/>
      <c r="N7" s="4"/>
      <c r="O7" s="9"/>
      <c r="P7" s="4"/>
      <c r="Q7" s="4"/>
      <c r="R7" s="4"/>
      <c r="S7" s="4"/>
      <c r="T7" s="4"/>
      <c r="U7" s="9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4">
      <c r="A8" s="2">
        <v>6</v>
      </c>
      <c r="B8" s="23" t="s">
        <v>114</v>
      </c>
      <c r="C8" s="4"/>
      <c r="D8" s="4"/>
      <c r="E8" s="4"/>
      <c r="F8" s="4"/>
      <c r="G8" s="4"/>
      <c r="H8" s="4"/>
      <c r="I8" s="4"/>
      <c r="J8" s="6"/>
      <c r="K8" s="4"/>
      <c r="L8" s="4"/>
      <c r="M8" s="4"/>
      <c r="N8" s="4"/>
      <c r="O8" s="9"/>
      <c r="P8" s="4"/>
      <c r="Q8" s="4"/>
      <c r="R8" s="4"/>
      <c r="S8" s="4"/>
      <c r="T8" s="4"/>
      <c r="U8" s="9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4">
      <c r="A9" s="2">
        <v>7</v>
      </c>
      <c r="B9" s="22" t="s">
        <v>115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  <c r="P9" s="4"/>
      <c r="Q9" s="4"/>
      <c r="R9" s="4"/>
      <c r="S9" s="4"/>
      <c r="T9" s="4"/>
      <c r="U9" s="9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4">
      <c r="A10" s="2">
        <v>8</v>
      </c>
      <c r="B10" s="22" t="s">
        <v>116</v>
      </c>
      <c r="C10" s="4"/>
      <c r="D10" s="4"/>
      <c r="E10" s="4"/>
      <c r="F10" s="4"/>
      <c r="G10" s="4"/>
      <c r="H10" s="4"/>
      <c r="I10" s="4"/>
      <c r="J10" s="6"/>
      <c r="K10" s="4"/>
      <c r="L10" s="4"/>
      <c r="M10" s="4"/>
      <c r="N10" s="4"/>
      <c r="O10" s="9"/>
      <c r="P10" s="4"/>
      <c r="Q10" s="4"/>
      <c r="R10" s="4"/>
      <c r="S10" s="4"/>
      <c r="T10" s="4"/>
      <c r="U10" s="9"/>
      <c r="V10" s="4"/>
      <c r="W10" s="4"/>
      <c r="X10" s="4"/>
      <c r="Y10" s="4"/>
      <c r="Z10" s="4"/>
      <c r="AA10" s="4"/>
      <c r="AB10" s="4"/>
      <c r="AC10" s="4"/>
      <c r="AD10" s="4"/>
    </row>
    <row r="11" spans="1:30" x14ac:dyDescent="0.4">
      <c r="A11" s="2">
        <v>9</v>
      </c>
      <c r="B11" s="22" t="s">
        <v>117</v>
      </c>
      <c r="C11" s="4"/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9"/>
      <c r="P11" s="4"/>
      <c r="Q11" s="4"/>
      <c r="R11" s="4"/>
      <c r="S11" s="4"/>
      <c r="T11" s="4"/>
      <c r="U11" s="9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4">
      <c r="A12" s="2">
        <v>10</v>
      </c>
      <c r="B12" s="22" t="s">
        <v>118</v>
      </c>
      <c r="C12" s="4"/>
      <c r="D12" s="4"/>
      <c r="E12" s="4"/>
      <c r="F12" s="4"/>
      <c r="G12" s="4"/>
      <c r="H12" s="4"/>
      <c r="I12" s="4"/>
      <c r="J12" s="6"/>
      <c r="K12" s="4"/>
      <c r="L12" s="4"/>
      <c r="M12" s="4"/>
      <c r="N12" s="4"/>
      <c r="O12" s="9"/>
      <c r="P12" s="4"/>
      <c r="Q12" s="4"/>
      <c r="R12" s="4"/>
      <c r="S12" s="4"/>
      <c r="T12" s="4"/>
      <c r="U12" s="9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4">
      <c r="A13" s="2">
        <v>11</v>
      </c>
      <c r="B13" s="22" t="s">
        <v>119</v>
      </c>
      <c r="C13" s="4"/>
      <c r="D13" s="4"/>
      <c r="E13" s="4"/>
      <c r="F13" s="4"/>
      <c r="G13" s="4"/>
      <c r="H13" s="4"/>
      <c r="I13" s="4"/>
      <c r="J13" s="6"/>
      <c r="K13" s="4"/>
      <c r="L13" s="4"/>
      <c r="M13" s="4"/>
      <c r="N13" s="4"/>
      <c r="O13" s="9"/>
      <c r="P13" s="4"/>
      <c r="Q13" s="4"/>
      <c r="R13" s="4"/>
      <c r="S13" s="4"/>
      <c r="T13" s="4"/>
      <c r="U13" s="9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4">
      <c r="A14" s="2">
        <v>12</v>
      </c>
      <c r="B14" s="22" t="s">
        <v>120</v>
      </c>
      <c r="C14" s="4"/>
      <c r="D14" s="4"/>
      <c r="E14" s="4"/>
      <c r="F14" s="4"/>
      <c r="G14" s="4"/>
      <c r="H14" s="4"/>
      <c r="I14" s="4"/>
      <c r="J14" s="6"/>
      <c r="K14" s="4"/>
      <c r="L14" s="4"/>
      <c r="M14" s="4"/>
      <c r="N14" s="4"/>
      <c r="O14" s="9"/>
      <c r="P14" s="4"/>
      <c r="Q14" s="4"/>
      <c r="R14" s="4"/>
      <c r="S14" s="4"/>
      <c r="T14" s="4"/>
      <c r="U14" s="9"/>
      <c r="V14" s="4"/>
      <c r="W14" s="4"/>
      <c r="X14" s="4"/>
      <c r="Y14" s="4"/>
      <c r="Z14" s="4"/>
      <c r="AA14" s="4"/>
      <c r="AB14" s="4"/>
      <c r="AC14" s="4"/>
      <c r="AD14" s="4"/>
    </row>
    <row r="15" spans="1:30" x14ac:dyDescent="0.4">
      <c r="A15" s="2">
        <v>13</v>
      </c>
      <c r="B15" s="22" t="s">
        <v>121</v>
      </c>
      <c r="C15" s="4"/>
      <c r="D15" s="4"/>
      <c r="E15" s="4"/>
      <c r="F15" s="4"/>
      <c r="G15" s="4"/>
      <c r="H15" s="4"/>
      <c r="I15" s="4"/>
      <c r="J15" s="6"/>
      <c r="K15" s="4"/>
      <c r="L15" s="4"/>
      <c r="M15" s="4"/>
      <c r="N15" s="4"/>
      <c r="O15" s="9"/>
      <c r="P15" s="4"/>
      <c r="Q15" s="4"/>
      <c r="R15" s="4"/>
      <c r="S15" s="4"/>
      <c r="T15" s="4"/>
      <c r="U15" s="9"/>
      <c r="V15" s="4"/>
      <c r="W15" s="4"/>
      <c r="X15" s="4"/>
      <c r="Y15" s="4"/>
      <c r="Z15" s="4"/>
      <c r="AA15" s="4"/>
      <c r="AB15" s="4"/>
      <c r="AC15" s="4"/>
      <c r="AD15" s="4"/>
    </row>
    <row r="16" spans="1:30" x14ac:dyDescent="0.4">
      <c r="A16" s="2">
        <v>14</v>
      </c>
      <c r="B16" s="22" t="s">
        <v>122</v>
      </c>
      <c r="C16" s="4"/>
      <c r="D16" s="4"/>
      <c r="E16" s="4"/>
      <c r="F16" s="4"/>
      <c r="G16" s="4"/>
      <c r="H16" s="4"/>
      <c r="I16" s="4"/>
      <c r="J16" s="6"/>
      <c r="K16" s="4"/>
      <c r="L16" s="4"/>
      <c r="M16" s="4"/>
      <c r="N16" s="4"/>
      <c r="O16" s="9"/>
      <c r="P16" s="4"/>
      <c r="Q16" s="4"/>
      <c r="R16" s="4"/>
      <c r="S16" s="4"/>
      <c r="T16" s="4"/>
      <c r="U16" s="9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4">
      <c r="A17" s="2">
        <v>15</v>
      </c>
      <c r="B17" s="22" t="s">
        <v>123</v>
      </c>
      <c r="C17" s="4"/>
      <c r="D17" s="4"/>
      <c r="E17" s="4"/>
      <c r="F17" s="4"/>
      <c r="G17" s="4"/>
      <c r="H17" s="4"/>
      <c r="I17" s="4"/>
      <c r="J17" s="6"/>
      <c r="K17" s="4"/>
      <c r="L17" s="4"/>
      <c r="M17" s="4"/>
      <c r="N17" s="4"/>
      <c r="O17" s="9"/>
      <c r="P17" s="4"/>
      <c r="Q17" s="4"/>
      <c r="R17" s="4"/>
      <c r="S17" s="4"/>
      <c r="T17" s="4"/>
      <c r="U17" s="9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4">
      <c r="A18" s="2">
        <v>16</v>
      </c>
      <c r="B18" s="22" t="s">
        <v>124</v>
      </c>
      <c r="C18" s="4"/>
      <c r="D18" s="4"/>
      <c r="E18" s="4"/>
      <c r="F18" s="4"/>
      <c r="G18" s="4"/>
      <c r="H18" s="4"/>
      <c r="I18" s="4"/>
      <c r="J18" s="6"/>
      <c r="K18" s="4"/>
      <c r="L18" s="4"/>
      <c r="M18" s="4"/>
      <c r="N18" s="4"/>
      <c r="O18" s="9"/>
      <c r="P18" s="4"/>
      <c r="Q18" s="4"/>
      <c r="R18" s="4"/>
      <c r="S18" s="4"/>
      <c r="T18" s="4"/>
      <c r="U18" s="9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4">
      <c r="A19" s="2">
        <v>17</v>
      </c>
      <c r="B19" s="22" t="s">
        <v>125</v>
      </c>
      <c r="C19" s="4"/>
      <c r="D19" s="4"/>
      <c r="E19" s="4"/>
      <c r="F19" s="4"/>
      <c r="G19" s="4"/>
      <c r="H19" s="4"/>
      <c r="I19" s="4"/>
      <c r="J19" s="6"/>
      <c r="K19" s="4"/>
      <c r="L19" s="4"/>
      <c r="M19" s="4"/>
      <c r="N19" s="4"/>
      <c r="O19" s="9"/>
      <c r="P19" s="4"/>
      <c r="Q19" s="4"/>
      <c r="R19" s="4"/>
      <c r="S19" s="4"/>
      <c r="T19" s="4"/>
      <c r="U19" s="9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4">
      <c r="A20" s="2">
        <v>18</v>
      </c>
      <c r="B20" s="22" t="s">
        <v>126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9"/>
      <c r="P20" s="4"/>
      <c r="Q20" s="4"/>
      <c r="R20" s="4"/>
      <c r="S20" s="4"/>
      <c r="T20" s="4"/>
      <c r="U20" s="9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4">
      <c r="A21" s="2">
        <v>19</v>
      </c>
      <c r="B21" s="22" t="s">
        <v>127</v>
      </c>
      <c r="C21" s="4"/>
      <c r="D21" s="4"/>
      <c r="E21" s="4"/>
      <c r="F21" s="4"/>
      <c r="G21" s="4"/>
      <c r="H21" s="4"/>
      <c r="I21" s="4"/>
      <c r="J21" s="6"/>
      <c r="K21" s="4"/>
      <c r="L21" s="4"/>
      <c r="M21" s="4"/>
      <c r="N21" s="4"/>
      <c r="O21" s="9"/>
      <c r="P21" s="4"/>
      <c r="Q21" s="4"/>
      <c r="R21" s="4"/>
      <c r="S21" s="4"/>
      <c r="T21" s="4"/>
      <c r="U21" s="9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4">
      <c r="A22" s="2">
        <v>20</v>
      </c>
      <c r="B22" s="22" t="s">
        <v>128</v>
      </c>
      <c r="C22" s="4"/>
      <c r="D22" s="4"/>
      <c r="E22" s="4"/>
      <c r="F22" s="4"/>
      <c r="G22" s="4"/>
      <c r="H22" s="4"/>
      <c r="I22" s="4"/>
      <c r="J22" s="6"/>
      <c r="K22" s="4"/>
      <c r="L22" s="4"/>
      <c r="M22" s="4"/>
      <c r="N22" s="4"/>
      <c r="O22" s="9"/>
      <c r="P22" s="4"/>
      <c r="Q22" s="4"/>
      <c r="R22" s="4"/>
      <c r="S22" s="4"/>
      <c r="T22" s="4"/>
      <c r="U22" s="9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4">
      <c r="A23" s="2">
        <v>21</v>
      </c>
      <c r="B23" s="22" t="s">
        <v>129</v>
      </c>
      <c r="C23" s="4"/>
      <c r="D23" s="4"/>
      <c r="E23" s="4"/>
      <c r="F23" s="4"/>
      <c r="G23" s="4"/>
      <c r="H23" s="4"/>
      <c r="I23" s="4"/>
      <c r="J23" s="6"/>
      <c r="K23" s="4"/>
      <c r="L23" s="4"/>
      <c r="M23" s="4"/>
      <c r="N23" s="4"/>
      <c r="O23" s="9"/>
      <c r="P23" s="4"/>
      <c r="Q23" s="4"/>
      <c r="R23" s="4"/>
      <c r="S23" s="4"/>
      <c r="T23" s="4"/>
      <c r="U23" s="9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4">
      <c r="A24" s="2">
        <v>22</v>
      </c>
      <c r="B24" s="22" t="s">
        <v>130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9"/>
      <c r="P24" s="4"/>
      <c r="Q24" s="4"/>
      <c r="R24" s="4"/>
      <c r="S24" s="4"/>
      <c r="T24" s="4"/>
      <c r="U24" s="9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4">
      <c r="A25" s="2">
        <v>23</v>
      </c>
      <c r="B25" s="22" t="s">
        <v>131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4"/>
      <c r="Q25" s="4"/>
      <c r="R25" s="4"/>
      <c r="S25" s="4"/>
      <c r="T25" s="4"/>
      <c r="U25" s="9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4">
      <c r="A26" s="2">
        <v>24</v>
      </c>
      <c r="B26" s="22" t="s">
        <v>132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9"/>
      <c r="P26" s="4"/>
      <c r="Q26" s="4"/>
      <c r="R26" s="4"/>
      <c r="S26" s="4"/>
      <c r="T26" s="4"/>
      <c r="U26" s="9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4">
      <c r="A27" s="2">
        <v>25</v>
      </c>
      <c r="B27" s="22" t="s">
        <v>133</v>
      </c>
      <c r="C27" s="4"/>
      <c r="D27" s="4"/>
      <c r="E27" s="4"/>
      <c r="F27" s="4"/>
      <c r="G27" s="4"/>
      <c r="H27" s="4"/>
      <c r="I27" s="4"/>
      <c r="J27" s="6"/>
      <c r="K27" s="4"/>
      <c r="L27" s="4"/>
      <c r="M27" s="4"/>
      <c r="N27" s="4"/>
      <c r="O27" s="9"/>
      <c r="P27" s="4"/>
      <c r="Q27" s="4"/>
      <c r="R27" s="4"/>
      <c r="S27" s="4"/>
      <c r="T27" s="4"/>
      <c r="U27" s="9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4">
      <c r="A28" s="2">
        <v>26</v>
      </c>
      <c r="B28" s="22" t="s">
        <v>134</v>
      </c>
      <c r="C28" s="4"/>
      <c r="D28" s="4"/>
      <c r="E28" s="4"/>
      <c r="F28" s="4"/>
      <c r="G28" s="4"/>
      <c r="H28" s="4"/>
      <c r="I28" s="4"/>
      <c r="J28" s="6"/>
      <c r="K28" s="4"/>
      <c r="L28" s="4"/>
      <c r="M28" s="4"/>
      <c r="N28" s="4"/>
      <c r="O28" s="9"/>
      <c r="P28" s="4"/>
      <c r="Q28" s="4"/>
      <c r="R28" s="4"/>
      <c r="S28" s="4"/>
      <c r="T28" s="4"/>
      <c r="U28" s="9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4">
      <c r="A29" s="2">
        <v>27</v>
      </c>
      <c r="B29" s="22" t="s">
        <v>135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9"/>
      <c r="P29" s="4"/>
      <c r="Q29" s="4"/>
      <c r="R29" s="4"/>
      <c r="S29" s="4"/>
      <c r="T29" s="4"/>
      <c r="U29" s="9"/>
      <c r="V29" s="4"/>
      <c r="W29" s="4"/>
      <c r="X29" s="4"/>
      <c r="Y29" s="4"/>
      <c r="Z29" s="4"/>
      <c r="AA29" s="4"/>
      <c r="AB29" s="4"/>
      <c r="AC29" s="4"/>
      <c r="AD29" s="4"/>
    </row>
    <row r="30" spans="1:30" x14ac:dyDescent="0.4">
      <c r="A30" s="2">
        <v>28</v>
      </c>
      <c r="B30" s="22" t="s">
        <v>136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9"/>
      <c r="P30" s="4"/>
      <c r="Q30" s="4"/>
      <c r="R30" s="4"/>
      <c r="S30" s="4"/>
      <c r="T30" s="4"/>
      <c r="U30" s="9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4">
      <c r="A31" s="2">
        <v>29</v>
      </c>
      <c r="B31" s="22" t="s">
        <v>137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"/>
      <c r="P31" s="4"/>
      <c r="Q31" s="4"/>
      <c r="R31" s="4"/>
      <c r="S31" s="4"/>
      <c r="T31" s="4"/>
      <c r="U31" s="9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4">
      <c r="A32" s="2">
        <v>30</v>
      </c>
      <c r="B32" s="22" t="s">
        <v>138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9"/>
      <c r="P32" s="4"/>
      <c r="Q32" s="4"/>
      <c r="R32" s="4"/>
      <c r="S32" s="4"/>
      <c r="T32" s="4"/>
      <c r="U32" s="9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4">
      <c r="A33" s="2">
        <v>31</v>
      </c>
      <c r="B33" s="22" t="s">
        <v>139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9"/>
      <c r="P33" s="4"/>
      <c r="Q33" s="4"/>
      <c r="R33" s="4"/>
      <c r="S33" s="4"/>
      <c r="T33" s="4"/>
      <c r="U33" s="9"/>
      <c r="V33" s="4"/>
      <c r="W33" s="4"/>
      <c r="X33" s="4"/>
      <c r="Y33" s="4"/>
      <c r="Z33" s="4"/>
      <c r="AA33" s="4"/>
      <c r="AB33" s="4"/>
      <c r="AC33" s="4"/>
      <c r="AD33" s="4"/>
    </row>
    <row r="34" spans="1:30" x14ac:dyDescent="0.4">
      <c r="A34" s="2">
        <v>32</v>
      </c>
      <c r="B34" s="23" t="s">
        <v>140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"/>
      <c r="P34" s="4"/>
      <c r="Q34" s="4"/>
      <c r="R34" s="4"/>
      <c r="S34" s="4"/>
      <c r="T34" s="4"/>
      <c r="U34" s="9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4">
      <c r="A35" s="2">
        <v>33</v>
      </c>
      <c r="B35" s="23" t="s">
        <v>141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9"/>
      <c r="P35" s="4"/>
      <c r="Q35" s="4"/>
      <c r="R35" s="4"/>
      <c r="S35" s="4"/>
      <c r="T35" s="4"/>
      <c r="U35" s="9"/>
      <c r="V35" s="4"/>
      <c r="W35" s="4"/>
      <c r="X35" s="4"/>
      <c r="Y35" s="4"/>
      <c r="Z35" s="4"/>
      <c r="AA35" s="4"/>
      <c r="AB35" s="4"/>
      <c r="AC35" s="4"/>
      <c r="AD35" s="4"/>
    </row>
    <row r="36" spans="1:30" x14ac:dyDescent="0.4">
      <c r="A36" s="2">
        <v>34</v>
      </c>
      <c r="B36" s="23" t="s">
        <v>142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9"/>
      <c r="P36" s="4"/>
      <c r="Q36" s="4"/>
      <c r="R36" s="4"/>
      <c r="S36" s="4"/>
      <c r="T36" s="4"/>
      <c r="U36" s="9"/>
      <c r="V36" s="4"/>
      <c r="W36" s="4"/>
      <c r="X36" s="4"/>
      <c r="Y36" s="4"/>
      <c r="Z36" s="4"/>
      <c r="AA36" s="4"/>
      <c r="AB36" s="4"/>
      <c r="AC36" s="4"/>
      <c r="AD36" s="4"/>
    </row>
    <row r="37" spans="1:30" x14ac:dyDescent="0.4">
      <c r="A37" s="2">
        <v>35</v>
      </c>
      <c r="B37" s="23" t="s">
        <v>143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9"/>
      <c r="P37" s="4"/>
      <c r="Q37" s="4"/>
      <c r="R37" s="4"/>
      <c r="S37" s="4"/>
      <c r="T37" s="4"/>
      <c r="U37" s="9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4">
      <c r="A38" s="2">
        <v>36</v>
      </c>
      <c r="B38" s="23" t="s">
        <v>144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9"/>
      <c r="P38" s="4"/>
      <c r="Q38" s="4"/>
      <c r="R38" s="4"/>
      <c r="S38" s="4"/>
      <c r="T38" s="4"/>
      <c r="U38" s="9"/>
      <c r="V38" s="4"/>
      <c r="W38" s="4"/>
      <c r="X38" s="4"/>
      <c r="Y38" s="4"/>
      <c r="Z38" s="4"/>
      <c r="AA38" s="4"/>
      <c r="AB38" s="4"/>
      <c r="AC38" s="4"/>
      <c r="AD38" s="4"/>
    </row>
    <row r="48" spans="1:30" x14ac:dyDescent="0.4">
      <c r="M48" s="7"/>
      <c r="N48" s="7"/>
    </row>
    <row r="50" spans="13:13" x14ac:dyDescent="0.4">
      <c r="M50" s="7"/>
    </row>
  </sheetData>
  <autoFilter ref="A2:AD29" xr:uid="{00000000-0009-0000-0000-000000000000}"/>
  <mergeCells count="16">
    <mergeCell ref="I1:J1"/>
    <mergeCell ref="A1:A2"/>
    <mergeCell ref="B1:B2"/>
    <mergeCell ref="C1:D1"/>
    <mergeCell ref="E1:F1"/>
    <mergeCell ref="G1:H1"/>
    <mergeCell ref="K1:L1"/>
    <mergeCell ref="M1:N1"/>
    <mergeCell ref="O1:P1"/>
    <mergeCell ref="Q1:R1"/>
    <mergeCell ref="S1:T1"/>
    <mergeCell ref="W1:X1"/>
    <mergeCell ref="Y1:Z1"/>
    <mergeCell ref="AA1:AB1"/>
    <mergeCell ref="AC1:AD1"/>
    <mergeCell ref="U1:V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722E-D187-44C7-A060-A8C2E5B49CD0}">
  <sheetPr>
    <pageSetUpPr fitToPage="1"/>
  </sheetPr>
  <dimension ref="A2:J30"/>
  <sheetViews>
    <sheetView zoomScaleNormal="100" workbookViewId="0">
      <selection activeCell="I27" sqref="I27:I28"/>
    </sheetView>
  </sheetViews>
  <sheetFormatPr defaultRowHeight="17.399999999999999" x14ac:dyDescent="0.4"/>
  <cols>
    <col min="1" max="1" width="21.19921875" style="12" customWidth="1"/>
    <col min="2" max="2" width="10.296875" customWidth="1"/>
    <col min="3" max="3" width="21.19921875" style="14" customWidth="1"/>
    <col min="5" max="5" width="1.296875" customWidth="1"/>
    <col min="6" max="6" width="21.19921875" style="14" customWidth="1"/>
    <col min="8" max="8" width="1.5" customWidth="1"/>
    <col min="9" max="9" width="21.19921875" style="14" customWidth="1"/>
  </cols>
  <sheetData>
    <row r="2" spans="1:10" x14ac:dyDescent="0.4">
      <c r="A2" s="13" t="s">
        <v>21</v>
      </c>
      <c r="B2" s="11"/>
      <c r="C2" s="15" t="s">
        <v>20</v>
      </c>
      <c r="D2" s="11"/>
      <c r="E2" s="11"/>
      <c r="F2" s="15" t="s">
        <v>22</v>
      </c>
      <c r="I2" s="15" t="s">
        <v>40</v>
      </c>
    </row>
    <row r="4" spans="1:10" x14ac:dyDescent="0.4">
      <c r="A4" s="32" t="s">
        <v>2</v>
      </c>
      <c r="C4" s="32" t="s">
        <v>2</v>
      </c>
      <c r="F4" s="32" t="s">
        <v>2</v>
      </c>
      <c r="I4" s="32" t="s">
        <v>2</v>
      </c>
    </row>
    <row r="5" spans="1:10" x14ac:dyDescent="0.4">
      <c r="A5" s="32"/>
      <c r="C5" s="32"/>
      <c r="F5" s="32"/>
      <c r="I5" s="32"/>
    </row>
    <row r="6" spans="1:10" ht="17.399999999999999" customHeight="1" x14ac:dyDescent="0.4">
      <c r="A6" s="32" t="s">
        <v>3</v>
      </c>
      <c r="C6" s="35" t="s">
        <v>3</v>
      </c>
      <c r="D6" s="11"/>
      <c r="F6" s="35" t="s">
        <v>3</v>
      </c>
      <c r="G6" s="11"/>
      <c r="I6" s="35" t="s">
        <v>3</v>
      </c>
      <c r="J6" s="11"/>
    </row>
    <row r="7" spans="1:10" x14ac:dyDescent="0.4">
      <c r="A7" s="32"/>
      <c r="C7" s="35"/>
      <c r="F7" s="35"/>
      <c r="I7" s="35"/>
    </row>
    <row r="8" spans="1:10" x14ac:dyDescent="0.4">
      <c r="A8" s="32" t="s">
        <v>4</v>
      </c>
      <c r="C8" s="35" t="s">
        <v>4</v>
      </c>
      <c r="F8" s="35" t="s">
        <v>4</v>
      </c>
      <c r="I8" s="35" t="s">
        <v>4</v>
      </c>
    </row>
    <row r="9" spans="1:10" x14ac:dyDescent="0.4">
      <c r="A9" s="32"/>
      <c r="C9" s="35"/>
      <c r="F9" s="35"/>
      <c r="I9" s="35"/>
    </row>
    <row r="10" spans="1:10" x14ac:dyDescent="0.4">
      <c r="A10" s="32" t="s">
        <v>5</v>
      </c>
      <c r="C10" s="10" t="s">
        <v>24</v>
      </c>
      <c r="D10" s="18" t="s">
        <v>55</v>
      </c>
      <c r="F10" s="10" t="s">
        <v>24</v>
      </c>
      <c r="G10" s="18" t="s">
        <v>55</v>
      </c>
      <c r="I10" s="10" t="s">
        <v>24</v>
      </c>
      <c r="J10" s="18" t="s">
        <v>55</v>
      </c>
    </row>
    <row r="11" spans="1:10" x14ac:dyDescent="0.4">
      <c r="A11" s="32"/>
      <c r="C11" s="10" t="s">
        <v>26</v>
      </c>
      <c r="D11" s="18" t="s">
        <v>55</v>
      </c>
      <c r="F11" s="10" t="s">
        <v>26</v>
      </c>
      <c r="G11" s="18" t="s">
        <v>55</v>
      </c>
      <c r="I11" s="10" t="s">
        <v>26</v>
      </c>
      <c r="J11" s="18" t="s">
        <v>55</v>
      </c>
    </row>
    <row r="12" spans="1:10" x14ac:dyDescent="0.4">
      <c r="A12" s="32"/>
      <c r="C12" s="10" t="s">
        <v>28</v>
      </c>
      <c r="D12" s="18" t="s">
        <v>55</v>
      </c>
      <c r="F12" s="10" t="s">
        <v>28</v>
      </c>
      <c r="G12" s="18" t="s">
        <v>55</v>
      </c>
      <c r="I12" s="10" t="s">
        <v>28</v>
      </c>
      <c r="J12" s="18" t="s">
        <v>55</v>
      </c>
    </row>
    <row r="13" spans="1:10" x14ac:dyDescent="0.4">
      <c r="A13" s="32" t="s">
        <v>6</v>
      </c>
      <c r="C13" s="42" t="s">
        <v>42</v>
      </c>
      <c r="F13" s="42" t="s">
        <v>43</v>
      </c>
      <c r="I13" s="32" t="s">
        <v>46</v>
      </c>
      <c r="J13" s="17"/>
    </row>
    <row r="14" spans="1:10" x14ac:dyDescent="0.4">
      <c r="A14" s="32"/>
      <c r="C14" s="43"/>
      <c r="F14" s="43"/>
      <c r="I14" s="32"/>
      <c r="J14" s="17"/>
    </row>
    <row r="15" spans="1:10" x14ac:dyDescent="0.4">
      <c r="A15" s="32" t="s">
        <v>7</v>
      </c>
      <c r="C15" s="43"/>
      <c r="F15" s="43"/>
      <c r="I15" s="32" t="s">
        <v>48</v>
      </c>
      <c r="J15" s="17"/>
    </row>
    <row r="16" spans="1:10" x14ac:dyDescent="0.4">
      <c r="A16" s="32"/>
      <c r="C16" s="43"/>
      <c r="F16" s="43"/>
      <c r="I16" s="32"/>
      <c r="J16" s="17"/>
    </row>
    <row r="17" spans="1:10" x14ac:dyDescent="0.4">
      <c r="A17" s="32" t="s">
        <v>8</v>
      </c>
      <c r="C17" s="43"/>
      <c r="F17" s="43"/>
      <c r="I17" s="32" t="s">
        <v>50</v>
      </c>
      <c r="J17" s="16"/>
    </row>
    <row r="18" spans="1:10" x14ac:dyDescent="0.4">
      <c r="A18" s="32"/>
      <c r="C18" s="44"/>
      <c r="F18" s="44"/>
      <c r="I18" s="32"/>
      <c r="J18" s="16"/>
    </row>
    <row r="19" spans="1:10" x14ac:dyDescent="0.4">
      <c r="A19" s="32" t="s">
        <v>18</v>
      </c>
      <c r="C19" s="33" t="s">
        <v>30</v>
      </c>
      <c r="F19" s="33" t="s">
        <v>30</v>
      </c>
      <c r="G19" s="17"/>
      <c r="I19" s="33" t="s">
        <v>52</v>
      </c>
      <c r="J19" s="16"/>
    </row>
    <row r="20" spans="1:10" x14ac:dyDescent="0.4">
      <c r="A20" s="32"/>
      <c r="C20" s="40"/>
      <c r="F20" s="40"/>
      <c r="G20" s="16"/>
      <c r="I20" s="40"/>
      <c r="J20" s="16"/>
    </row>
    <row r="21" spans="1:10" x14ac:dyDescent="0.4">
      <c r="A21" s="32" t="s">
        <v>9</v>
      </c>
      <c r="C21" s="32" t="s">
        <v>17</v>
      </c>
      <c r="D21" s="30" t="s">
        <v>56</v>
      </c>
      <c r="F21" s="32" t="s">
        <v>17</v>
      </c>
      <c r="G21" s="30" t="s">
        <v>56</v>
      </c>
      <c r="I21" s="32" t="s">
        <v>32</v>
      </c>
      <c r="J21" s="30" t="s">
        <v>56</v>
      </c>
    </row>
    <row r="22" spans="1:10" x14ac:dyDescent="0.4">
      <c r="A22" s="32"/>
      <c r="C22" s="32"/>
      <c r="D22" s="31"/>
      <c r="F22" s="32"/>
      <c r="G22" s="31"/>
      <c r="I22" s="32"/>
      <c r="J22" s="31"/>
    </row>
    <row r="23" spans="1:10" x14ac:dyDescent="0.4">
      <c r="A23" s="32" t="s">
        <v>10</v>
      </c>
      <c r="C23" s="32" t="s">
        <v>35</v>
      </c>
      <c r="D23" s="31"/>
      <c r="F23" s="32" t="s">
        <v>35</v>
      </c>
      <c r="G23" s="31"/>
      <c r="I23" s="32" t="s">
        <v>33</v>
      </c>
      <c r="J23" s="31"/>
    </row>
    <row r="24" spans="1:10" x14ac:dyDescent="0.4">
      <c r="A24" s="32"/>
      <c r="C24" s="32"/>
      <c r="D24" s="31"/>
      <c r="F24" s="33"/>
      <c r="G24" s="31"/>
      <c r="I24" s="33"/>
      <c r="J24" s="31"/>
    </row>
    <row r="25" spans="1:10" x14ac:dyDescent="0.4">
      <c r="A25" s="32" t="s">
        <v>11</v>
      </c>
      <c r="C25" s="41" t="s">
        <v>37</v>
      </c>
      <c r="F25" s="42" t="s">
        <v>41</v>
      </c>
      <c r="I25" s="38"/>
    </row>
    <row r="26" spans="1:10" x14ac:dyDescent="0.4">
      <c r="A26" s="32"/>
      <c r="C26" s="41"/>
      <c r="F26" s="43"/>
      <c r="I26" s="38"/>
    </row>
    <row r="27" spans="1:10" x14ac:dyDescent="0.4">
      <c r="A27" s="32" t="s">
        <v>12</v>
      </c>
      <c r="C27" s="41" t="s">
        <v>39</v>
      </c>
      <c r="F27" s="43"/>
      <c r="I27" s="39" t="s">
        <v>53</v>
      </c>
    </row>
    <row r="28" spans="1:10" x14ac:dyDescent="0.4">
      <c r="A28" s="32"/>
      <c r="C28" s="41"/>
      <c r="F28" s="43"/>
      <c r="I28" s="39"/>
    </row>
    <row r="29" spans="1:10" x14ac:dyDescent="0.4">
      <c r="A29" s="32" t="s">
        <v>13</v>
      </c>
      <c r="C29" s="35" t="s">
        <v>44</v>
      </c>
      <c r="D29" s="36" t="s">
        <v>19</v>
      </c>
      <c r="F29" s="34" t="s">
        <v>31</v>
      </c>
      <c r="G29" s="36" t="s">
        <v>19</v>
      </c>
      <c r="I29" s="34" t="s">
        <v>54</v>
      </c>
      <c r="J29" s="36" t="s">
        <v>19</v>
      </c>
    </row>
    <row r="30" spans="1:10" x14ac:dyDescent="0.4">
      <c r="A30" s="32"/>
      <c r="C30" s="35"/>
      <c r="D30" s="37"/>
      <c r="F30" s="35"/>
      <c r="G30" s="37"/>
      <c r="I30" s="35"/>
      <c r="J30" s="37"/>
    </row>
  </sheetData>
  <mergeCells count="50">
    <mergeCell ref="C4:C5"/>
    <mergeCell ref="C6:C7"/>
    <mergeCell ref="C8:C9"/>
    <mergeCell ref="A27:A28"/>
    <mergeCell ref="A29:A30"/>
    <mergeCell ref="A15:A16"/>
    <mergeCell ref="A17:A18"/>
    <mergeCell ref="A19:A20"/>
    <mergeCell ref="A21:A22"/>
    <mergeCell ref="A23:A24"/>
    <mergeCell ref="A25:A26"/>
    <mergeCell ref="A4:A5"/>
    <mergeCell ref="A6:A7"/>
    <mergeCell ref="A8:A9"/>
    <mergeCell ref="A10:A12"/>
    <mergeCell ref="A13:A14"/>
    <mergeCell ref="C29:C30"/>
    <mergeCell ref="C19:C20"/>
    <mergeCell ref="D29:D30"/>
    <mergeCell ref="C13:C18"/>
    <mergeCell ref="D21:D24"/>
    <mergeCell ref="C21:C22"/>
    <mergeCell ref="C23:C24"/>
    <mergeCell ref="C25:C26"/>
    <mergeCell ref="C27:C28"/>
    <mergeCell ref="F25:F28"/>
    <mergeCell ref="F8:F9"/>
    <mergeCell ref="F19:F20"/>
    <mergeCell ref="F21:F22"/>
    <mergeCell ref="F23:F24"/>
    <mergeCell ref="F13:F18"/>
    <mergeCell ref="I4:I5"/>
    <mergeCell ref="I6:I7"/>
    <mergeCell ref="I8:I9"/>
    <mergeCell ref="I19:I20"/>
    <mergeCell ref="F29:F30"/>
    <mergeCell ref="G29:G30"/>
    <mergeCell ref="G21:G24"/>
    <mergeCell ref="F4:F5"/>
    <mergeCell ref="F6:F7"/>
    <mergeCell ref="I13:I14"/>
    <mergeCell ref="I15:I16"/>
    <mergeCell ref="I17:I18"/>
    <mergeCell ref="I25:I26"/>
    <mergeCell ref="I27:I28"/>
    <mergeCell ref="J21:J24"/>
    <mergeCell ref="I21:I22"/>
    <mergeCell ref="I23:I24"/>
    <mergeCell ref="I29:I30"/>
    <mergeCell ref="J29:J30"/>
  </mergeCells>
  <phoneticPr fontId="6" type="noConversion"/>
  <pageMargins left="0.7" right="0.7" top="0.75" bottom="0.75" header="0.3" footer="0.3"/>
  <pageSetup paperSize="9" scale="9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MajorModule</vt:lpstr>
      <vt:lpstr>PBX</vt:lpstr>
      <vt:lpstr>EMA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BC.Park</cp:lastModifiedBy>
  <cp:lastPrinted>2026-08-25T04:06:25Z</cp:lastPrinted>
  <dcterms:created xsi:type="dcterms:W3CDTF">2026-08-21T07:44:08Z</dcterms:created>
  <dcterms:modified xsi:type="dcterms:W3CDTF">2026-08-25T09:58:36Z</dcterms:modified>
</cp:coreProperties>
</file>